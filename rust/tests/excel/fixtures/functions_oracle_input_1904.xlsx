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ookup" sheetId="2" state="visible" r:id="rId2"/>
    <sheet name="Matrix" sheetId="3" state="visible" r:id="rId3"/>
    <sheet name="Hidden" sheetId="4" state="visible" r:id="rId4"/>
    <sheet name="Flows" sheetId="5" state="visible" r:id="rId5"/>
    <sheet name="Errors" sheetId="6" state="visible" r:id="rId6"/>
    <sheet name="Stability" sheetId="7" state="visible" r:id="rId7"/>
    <sheet name="Jan" sheetId="8" state="visible" r:id="rId8"/>
    <sheet name="Feb" sheetId="9" state="visible" r:id="rId9"/>
    <sheet name="Mar" sheetId="10" state="visible" r:id="rId10"/>
    <sheet name="Cases" sheetId="11" state="visible" r:id="rId11"/>
    <sheet name="Scoped" sheetId="12" state="visible" r:id="rId12"/>
  </sheets>
  <definedNames>
    <definedName name="GlobalRate">0.125</definedName>
    <definedName name="Rate">0.1</definedName>
    <definedName name="Numbers">Inputs!$A$1:$A$8</definedName>
    <definedName name="Rate" localSheetId="11">0.2</definedName>
  </definedNames>
  <calcPr calcId="0" calcMode="auto" fullCalcOnLoad="1" iterate="0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:mm:ss.000"/>
    <numFmt numFmtId="166" formatCode="yyyy-mm-dd 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b">
        <v>1</v>
      </c>
      <c r="C1" t="inlineStr">
        <is>
          <t>apple</t>
        </is>
      </c>
      <c r="D1" t="inlineStr">
        <is>
          <t>red</t>
        </is>
      </c>
      <c r="E1" t="n">
        <v>1</v>
      </c>
      <c r="F1" s="1" t="n">
        <v>59</v>
      </c>
    </row>
    <row r="2">
      <c r="A2" t="n">
        <v>4</v>
      </c>
      <c r="B2" t="b">
        <v>0</v>
      </c>
      <c r="C2" t="inlineStr">
        <is>
          <t>apricot</t>
        </is>
      </c>
      <c r="D2" t="inlineStr">
        <is>
          <t>red</t>
        </is>
      </c>
      <c r="E2" t="n">
        <v>2</v>
      </c>
      <c r="F2" s="1" t="n">
        <v>60</v>
      </c>
    </row>
    <row r="3">
      <c r="A3" t="n">
        <v>4</v>
      </c>
      <c r="B3" t="inlineStr">
        <is>
          <t>3</t>
        </is>
      </c>
      <c r="C3" t="inlineStr">
        <is>
          <t>a*b</t>
        </is>
      </c>
      <c r="D3" t="inlineStr">
        <is>
          <t>blue</t>
        </is>
      </c>
      <c r="E3" t="n">
        <v>3</v>
      </c>
      <c r="F3" s="1" t="n">
        <v>61</v>
      </c>
    </row>
    <row r="4">
      <c r="A4" t="n">
        <v>8</v>
      </c>
      <c r="B4" t="inlineStr">
        <is>
          <t>x</t>
        </is>
      </c>
      <c r="C4" t="inlineStr">
        <is>
          <t>A?b</t>
        </is>
      </c>
      <c r="D4" t="inlineStr">
        <is>
          <t>red</t>
        </is>
      </c>
      <c r="E4" t="n">
        <v>4</v>
      </c>
      <c r="F4" s="2" t="n">
        <v>0.123456789012345</v>
      </c>
    </row>
    <row r="5">
      <c r="A5" t="n">
        <v>10</v>
      </c>
      <c r="C5" t="inlineStr">
        <is>
          <t>berry</t>
        </is>
      </c>
      <c r="D5" t="inlineStr">
        <is>
          <t>blue</t>
        </is>
      </c>
      <c r="E5" t="n">
        <v>5</v>
      </c>
      <c r="F5" s="3" t="n">
        <v>45292.123456789</v>
      </c>
    </row>
    <row r="6">
      <c r="A6" t="n">
        <v>12</v>
      </c>
      <c r="B6" t="n">
        <v>0</v>
      </c>
      <c r="C6" t="inlineStr">
        <is>
          <t>alpha</t>
        </is>
      </c>
      <c r="D6" t="inlineStr">
        <is>
          <t>red</t>
        </is>
      </c>
      <c r="E6" t="n">
        <v>6</v>
      </c>
    </row>
    <row r="7">
      <c r="A7" t="n">
        <v>14</v>
      </c>
      <c r="B7">
        <f>""</f>
        <v/>
      </c>
      <c r="C7" t="inlineStr">
        <is>
          <t>~</t>
        </is>
      </c>
      <c r="D7" t="inlineStr">
        <is>
          <t>blue</t>
        </is>
      </c>
      <c r="E7" t="n">
        <v>7</v>
      </c>
    </row>
    <row r="8">
      <c r="A8" t="n">
        <v>16</v>
      </c>
      <c r="B8" t="n">
        <v>5</v>
      </c>
      <c r="D8" t="inlineStr">
        <is>
          <t>red</t>
        </is>
      </c>
      <c r="E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one</t>
        </is>
      </c>
      <c r="D1" t="n">
        <v>9</v>
      </c>
    </row>
    <row r="2">
      <c r="A2" t="n">
        <v>3</v>
      </c>
      <c r="B2" t="inlineStr">
        <is>
          <t>three</t>
        </is>
      </c>
      <c r="D2" t="n">
        <v>5</v>
      </c>
    </row>
    <row r="3">
      <c r="A3" t="n">
        <v>5</v>
      </c>
      <c r="B3" t="inlineStr">
        <is>
          <t>five</t>
        </is>
      </c>
      <c r="D3" t="n">
        <v>3</v>
      </c>
    </row>
    <row r="4">
      <c r="A4" t="n">
        <v>9</v>
      </c>
      <c r="B4" t="inlineStr">
        <is>
          <t>nine</t>
        </is>
      </c>
      <c r="D4" t="n">
        <v>1</v>
      </c>
    </row>
    <row r="6">
      <c r="A6" t="n">
        <v>1</v>
      </c>
      <c r="B6" t="n">
        <v>3</v>
      </c>
      <c r="C6" t="n">
        <v>5</v>
      </c>
      <c r="D6" t="n">
        <v>9</v>
      </c>
    </row>
    <row r="7">
      <c r="A7" t="n">
        <v>10</v>
      </c>
      <c r="B7" t="n">
        <v>30</v>
      </c>
      <c r="C7" t="n">
        <v>50</v>
      </c>
      <c r="D7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</row>
    <row r="2" hidden="1">
      <c r="A2" t="n">
        <v>2</v>
      </c>
      <c r="B2" t="n">
        <v>20</v>
      </c>
    </row>
    <row r="3">
      <c r="A3" t="n">
        <v>3</v>
      </c>
    </row>
    <row r="4">
      <c r="A4" t="n">
        <v>4</v>
      </c>
    </row>
    <row r="5" hidden="1">
      <c r="A5" t="n">
        <v>5</v>
      </c>
    </row>
    <row r="6">
      <c r="A6">
        <f>SUBTOTAL(9,B1:B2)</f>
        <v/>
      </c>
    </row>
    <row r="7">
      <c r="A7" t="inlineStr">
        <is>
          <t>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-1000</v>
      </c>
    </row>
    <row r="2">
      <c r="A2" t="n">
        <v>300</v>
      </c>
    </row>
    <row r="3">
      <c r="A3" t="n">
        <v>400</v>
      </c>
    </row>
    <row r="4">
      <c r="A4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e">
        <v>#NULL!</v>
      </c>
    </row>
    <row r="2">
      <c r="A2" t="e">
        <v>#DIV/0!</v>
      </c>
    </row>
    <row r="3">
      <c r="A3" t="e">
        <v>#VALUE!</v>
      </c>
    </row>
    <row r="4">
      <c r="A4" t="e">
        <v>#REF!</v>
      </c>
    </row>
    <row r="5">
      <c r="A5" t="e">
        <v>#NAME?</v>
      </c>
    </row>
    <row r="6">
      <c r="A6" t="e">
        <v>#NUM!</v>
      </c>
    </row>
    <row r="7">
      <c r="A7" t="e">
        <v>#N/A</v>
      </c>
    </row>
    <row r="8">
      <c r="A8" t="e">
        <v>#GETTING_DATA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100000000001</v>
      </c>
    </row>
    <row r="2">
      <c r="A2" t="n">
        <v>100000000002</v>
      </c>
    </row>
    <row r="3">
      <c r="A3" t="n">
        <v>100000000003</v>
      </c>
    </row>
    <row r="4">
      <c r="A4" t="n">
        <v>100000000004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Native formula result</t>
        </is>
      </c>
      <c r="C1" t="inlineStr">
        <is>
          <t>Mode</t>
        </is>
      </c>
      <c r="D1" t="inlineStr">
        <is>
          <t>Original formula</t>
        </is>
      </c>
    </row>
    <row r="2">
      <c r="A2" t="inlineStr">
        <is>
          <t>phantom-date-1904</t>
        </is>
      </c>
      <c r="B2">
        <f>DATE(1900,2,29)</f>
        <v/>
      </c>
      <c r="C2" t="inlineStr">
        <is>
          <t>cached_equal</t>
        </is>
      </c>
      <c r="D2" t="inlineStr">
        <is>
          <t>DATE(1900,2,29)</t>
        </is>
      </c>
    </row>
    <row r="3">
      <c r="A3" t="inlineStr">
        <is>
          <t>phantom-day-1904</t>
        </is>
      </c>
      <c r="B3">
        <f>DAY(60)</f>
        <v/>
      </c>
      <c r="C3" t="inlineStr">
        <is>
          <t>cached_equal</t>
        </is>
      </c>
      <c r="D3" t="inlineStr">
        <is>
          <t>DAY(60)</t>
        </is>
      </c>
    </row>
    <row r="4">
      <c r="A4" t="inlineStr">
        <is>
          <t>phantom-month-1904</t>
        </is>
      </c>
      <c r="B4">
        <f>MONTH(60)</f>
        <v/>
      </c>
      <c r="C4" t="inlineStr">
        <is>
          <t>cached_equal</t>
        </is>
      </c>
      <c r="D4" t="inlineStr">
        <is>
          <t>MONTH(60)</t>
        </is>
      </c>
    </row>
    <row r="5">
      <c r="A5" t="inlineStr">
        <is>
          <t>phantom-year-1904</t>
        </is>
      </c>
      <c r="B5">
        <f>YEAR(60)</f>
        <v/>
      </c>
      <c r="C5" t="inlineStr">
        <is>
          <t>cached_equal</t>
        </is>
      </c>
      <c r="D5" t="inlineStr">
        <is>
          <t>YEAR(60)</t>
        </is>
      </c>
    </row>
    <row r="6">
      <c r="A6" t="inlineStr">
        <is>
          <t>weekday-61-1904</t>
        </is>
      </c>
      <c r="B6">
        <f>WEEKDAY(61)</f>
        <v/>
      </c>
      <c r="C6" t="inlineStr">
        <is>
          <t>cached_equal</t>
        </is>
      </c>
      <c r="D6" t="inlineStr">
        <is>
          <t>WEEKDAY(61)</t>
        </is>
      </c>
    </row>
    <row r="7">
      <c r="A7" t="inlineStr">
        <is>
          <t>weekday-monday-1904</t>
        </is>
      </c>
      <c r="B7">
        <f>WEEKDAY(61,2)</f>
        <v/>
      </c>
      <c r="C7" t="inlineStr">
        <is>
          <t>cached_equal</t>
        </is>
      </c>
      <c r="D7" t="inlineStr">
        <is>
          <t>WEEKDAY(61,2)</t>
        </is>
      </c>
    </row>
    <row r="8">
      <c r="A8" t="inlineStr">
        <is>
          <t>date-month-overflow-1904</t>
        </is>
      </c>
      <c r="B8">
        <f>DATE(2024,14,0)</f>
        <v/>
      </c>
      <c r="C8" t="inlineStr">
        <is>
          <t>cached_equal</t>
        </is>
      </c>
      <c r="D8" t="inlineStr">
        <is>
          <t>DATE(2024,14,0)</t>
        </is>
      </c>
    </row>
    <row r="9">
      <c r="A9" t="inlineStr">
        <is>
          <t>date-day-negative-1904</t>
        </is>
      </c>
      <c r="B9">
        <f>DATE(2024,3,-1)</f>
        <v/>
      </c>
      <c r="C9" t="inlineStr">
        <is>
          <t>cached_equal</t>
        </is>
      </c>
      <c r="D9" t="inlineStr">
        <is>
          <t>DATE(2024,3,-1)</t>
        </is>
      </c>
    </row>
    <row r="10">
      <c r="A10" t="inlineStr">
        <is>
          <t>date-short-year-1904</t>
        </is>
      </c>
      <c r="B10">
        <f>DATE(24,1,1)</f>
        <v/>
      </c>
      <c r="C10" t="inlineStr">
        <is>
          <t>cached_equal</t>
        </is>
      </c>
      <c r="D10" t="inlineStr">
        <is>
          <t>DATE(24,1,1)</t>
        </is>
      </c>
    </row>
    <row r="11">
      <c r="A11" t="inlineStr">
        <is>
          <t>date-1904-origin-1904</t>
        </is>
      </c>
      <c r="B11">
        <f>DATE(1904,1,1)</f>
        <v/>
      </c>
      <c r="C11" t="inlineStr">
        <is>
          <t>cached_equal</t>
        </is>
      </c>
      <c r="D11" t="inlineStr">
        <is>
          <t>DATE(1904,1,1)</t>
        </is>
      </c>
    </row>
    <row r="12">
      <c r="A12" t="inlineStr">
        <is>
          <t>edate-leap-back-1904</t>
        </is>
      </c>
      <c r="B12">
        <f>EDATE(DATE(2024,3,31),-1)</f>
        <v/>
      </c>
      <c r="C12" t="inlineStr">
        <is>
          <t>cached_equal</t>
        </is>
      </c>
      <c r="D12" t="inlineStr">
        <is>
          <t>EDATE(DATE(2024,3,31),-1)</t>
        </is>
      </c>
    </row>
    <row r="13">
      <c r="A13" t="inlineStr">
        <is>
          <t>eomonth-year-back-1904</t>
        </is>
      </c>
      <c r="B13">
        <f>EOMONTH(DATE(2024,1,1),-1)</f>
        <v/>
      </c>
      <c r="C13" t="inlineStr">
        <is>
          <t>cached_equal</t>
        </is>
      </c>
      <c r="D13" t="inlineStr">
        <is>
          <t>EOMONTH(DATE(2024,1,1),-1)</t>
        </is>
      </c>
    </row>
    <row r="14">
      <c r="A14" t="inlineStr">
        <is>
          <t>styled-serial-59-1904</t>
        </is>
      </c>
      <c r="B14">
        <f>Inputs!F1+0</f>
        <v/>
      </c>
      <c r="C14" t="inlineStr">
        <is>
          <t>cached_equal</t>
        </is>
      </c>
      <c r="D14" t="inlineStr">
        <is>
          <t>Inputs!F1+0</t>
        </is>
      </c>
    </row>
    <row r="15">
      <c r="A15" t="inlineStr">
        <is>
          <t>styled-serial-60-1904</t>
        </is>
      </c>
      <c r="B15">
        <f>Inputs!F2+0</f>
        <v/>
      </c>
      <c r="C15" t="inlineStr">
        <is>
          <t>cached_equal</t>
        </is>
      </c>
      <c r="D15" t="inlineStr">
        <is>
          <t>Inputs!F2+0</t>
        </is>
      </c>
    </row>
    <row r="16">
      <c r="A16" t="inlineStr">
        <is>
          <t>styled-serial-61-1904</t>
        </is>
      </c>
      <c r="B16">
        <f>Inputs!F3+0</f>
        <v/>
      </c>
      <c r="C16" t="inlineStr">
        <is>
          <t>cached_equal</t>
        </is>
      </c>
      <c r="D16" t="inlineStr">
        <is>
          <t>Inputs!F3+0</t>
        </is>
      </c>
    </row>
    <row r="17">
      <c r="A17" t="inlineStr">
        <is>
          <t>styled-serial-60-day-1904</t>
        </is>
      </c>
      <c r="B17">
        <f>DAY(Inputs!F2)</f>
        <v/>
      </c>
      <c r="C17" t="inlineStr">
        <is>
          <t>cached_equal</t>
        </is>
      </c>
      <c r="D17" t="inlineStr">
        <is>
          <t>DAY(Inputs!F2)</t>
        </is>
      </c>
    </row>
    <row r="18">
      <c r="A18" t="inlineStr">
        <is>
          <t>styled-submillisecond-time-1904</t>
        </is>
      </c>
      <c r="B18">
        <f>Inputs!F4+0</f>
        <v/>
      </c>
      <c r="C18" t="inlineStr">
        <is>
          <t>cached_equal</t>
        </is>
      </c>
      <c r="D18" t="inlineStr">
        <is>
          <t>Inputs!F4+0</t>
        </is>
      </c>
    </row>
    <row r="19">
      <c r="A19" t="inlineStr">
        <is>
          <t>styled-submillisecond-seconds-1904</t>
        </is>
      </c>
      <c r="B19">
        <f>Inputs!F4*86400</f>
        <v/>
      </c>
      <c r="C19" t="inlineStr">
        <is>
          <t>cached_equal</t>
        </is>
      </c>
      <c r="D19" t="inlineStr">
        <is>
          <t>Inputs!F4*86400</t>
        </is>
      </c>
    </row>
    <row r="20">
      <c r="A20" t="inlineStr">
        <is>
          <t>styled-submillisecond-datetime-1904</t>
        </is>
      </c>
      <c r="B20">
        <f>Inputs!F5+0</f>
        <v/>
      </c>
      <c r="C20" t="inlineStr">
        <is>
          <t>cached_equal</t>
        </is>
      </c>
      <c r="D20" t="inlineStr">
        <is>
          <t>Inputs!F5+0</t>
        </is>
      </c>
    </row>
    <row r="21">
      <c r="A21" t="inlineStr">
        <is>
          <t>time-negative-1904</t>
        </is>
      </c>
      <c r="B21">
        <f>TIME(-1,0,0)</f>
        <v/>
      </c>
      <c r="C21" t="inlineStr">
        <is>
          <t>cached_equal</t>
        </is>
      </c>
      <c r="D21" t="inlineStr">
        <is>
          <t>TIME(-1,0,0)</t>
        </is>
      </c>
    </row>
    <row r="22">
      <c r="A22" t="inlineStr">
        <is>
          <t>time-fraction-1904</t>
        </is>
      </c>
      <c r="B22">
        <f>TIME(1,2,3)</f>
        <v/>
      </c>
      <c r="C22" t="inlineStr">
        <is>
          <t>cached_equal</t>
        </is>
      </c>
      <c r="D22" t="inlineStr">
        <is>
          <t>TIME(1,2,3)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Native formula result</t>
        </is>
      </c>
      <c r="C1" t="inlineStr">
        <is>
          <t>Mode</t>
        </is>
      </c>
      <c r="D1" t="inlineStr">
        <is>
          <t>Original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yggdryl local P5 input builder</dc:creator>
  <dcterms:created xsi:type="dcterms:W3CDTF">2026-10-01T00:00:00Z</dcterms:created>
  <dcterms:modified xsi:type="dcterms:W3CDTF">2026-10-01T01:04:15Z</dcterms:modified>
</cp:coreProperties>
</file>