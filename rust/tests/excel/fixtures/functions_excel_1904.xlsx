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/>
  <mc:AlternateContent xmlns:mc="http://schemas.openxmlformats.org/markup-compatibility/2006">
    <mc:Choice Requires="x15">
      <x15ac:absPath xmlns:x15ac="http://schemas.microsoft.com/office/spreadsheetml/2010/11/ac" url="C:\Users\ASUS\Python\yggdryl\rust\target\excel-desktop\p5-functions-adapted-text-v3\"/>
    </mc:Choice>
  </mc:AlternateContent>
  <xr:revisionPtr revIDLastSave="0" documentId="8_{3182C09B-73E3-44BA-9E50-6B4A254EBB1C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Inputs" sheetId="1" r:id="rId1"/>
    <sheet name="Lookup" sheetId="2" r:id="rId2"/>
    <sheet name="Matrix" sheetId="3" r:id="rId3"/>
    <sheet name="Hidden" sheetId="4" r:id="rId4"/>
    <sheet name="Flows" sheetId="5" r:id="rId5"/>
    <sheet name="Errors" sheetId="6" r:id="rId6"/>
    <sheet name="Stability" sheetId="7" r:id="rId7"/>
    <sheet name="Jan" sheetId="8" r:id="rId8"/>
    <sheet name="Feb" sheetId="9" r:id="rId9"/>
    <sheet name="Mar" sheetId="10" r:id="rId10"/>
    <sheet name="Cases" sheetId="11" r:id="rId11"/>
    <sheet name="Scoped" sheetId="12" r:id="rId12"/>
  </sheets>
  <definedNames>
    <definedName name="GlobalRate">0.125</definedName>
    <definedName name="Numbers">Inputs!$A$1:$A$8</definedName>
    <definedName name="Rate" localSheetId="11">0.2</definedName>
    <definedName name="Rate">0.1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1" l="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A6" i="4"/>
  <c r="B7" i="1"/>
</calcChain>
</file>

<file path=xl/sharedStrings.xml><?xml version="1.0" encoding="utf-8"?>
<sst xmlns="http://schemas.openxmlformats.org/spreadsheetml/2006/main" count="93" uniqueCount="63">
  <si>
    <t>apple</t>
  </si>
  <si>
    <t>red</t>
  </si>
  <si>
    <t>apricot</t>
  </si>
  <si>
    <t>3</t>
  </si>
  <si>
    <t>a*b</t>
  </si>
  <si>
    <t>blue</t>
  </si>
  <si>
    <t>x</t>
  </si>
  <si>
    <t>A?b</t>
  </si>
  <si>
    <t>berry</t>
  </si>
  <si>
    <t>alpha</t>
  </si>
  <si>
    <t>~</t>
  </si>
  <si>
    <t>one</t>
  </si>
  <si>
    <t>three</t>
  </si>
  <si>
    <t>five</t>
  </si>
  <si>
    <t>nine</t>
  </si>
  <si>
    <t>text</t>
  </si>
  <si>
    <t>Case ID</t>
  </si>
  <si>
    <t>Native formula result</t>
  </si>
  <si>
    <t>Mode</t>
  </si>
  <si>
    <t>Original formula</t>
  </si>
  <si>
    <t>phantom-date-1904</t>
  </si>
  <si>
    <t>cached_equal</t>
  </si>
  <si>
    <t>DATE(1900,2,29)</t>
  </si>
  <si>
    <t>phantom-day-1904</t>
  </si>
  <si>
    <t>DAY(60)</t>
  </si>
  <si>
    <t>phantom-month-1904</t>
  </si>
  <si>
    <t>MONTH(60)</t>
  </si>
  <si>
    <t>phantom-year-1904</t>
  </si>
  <si>
    <t>YEAR(60)</t>
  </si>
  <si>
    <t>weekday-61-1904</t>
  </si>
  <si>
    <t>WEEKDAY(61)</t>
  </si>
  <si>
    <t>weekday-monday-1904</t>
  </si>
  <si>
    <t>WEEKDAY(61,2)</t>
  </si>
  <si>
    <t>date-month-overflow-1904</t>
  </si>
  <si>
    <t>DATE(2024,14,0)</t>
  </si>
  <si>
    <t>date-day-negative-1904</t>
  </si>
  <si>
    <t>DATE(2024,3,-1)</t>
  </si>
  <si>
    <t>date-short-year-1904</t>
  </si>
  <si>
    <t>DATE(24,1,1)</t>
  </si>
  <si>
    <t>date-1904-origin-1904</t>
  </si>
  <si>
    <t>DATE(1904,1,1)</t>
  </si>
  <si>
    <t>edate-leap-back-1904</t>
  </si>
  <si>
    <t>EDATE(DATE(2024,3,31),-1)</t>
  </si>
  <si>
    <t>eomonth-year-back-1904</t>
  </si>
  <si>
    <t>EOMONTH(DATE(2024,1,1),-1)</t>
  </si>
  <si>
    <t>styled-serial-59-1904</t>
  </si>
  <si>
    <t>Inputs!F1+0</t>
  </si>
  <si>
    <t>styled-serial-60-1904</t>
  </si>
  <si>
    <t>Inputs!F2+0</t>
  </si>
  <si>
    <t>styled-serial-61-1904</t>
  </si>
  <si>
    <t>Inputs!F3+0</t>
  </si>
  <si>
    <t>styled-serial-60-day-1904</t>
  </si>
  <si>
    <t>DAY(Inputs!F2)</t>
  </si>
  <si>
    <t>styled-submillisecond-time-1904</t>
  </si>
  <si>
    <t>Inputs!F4+0</t>
  </si>
  <si>
    <t>styled-submillisecond-seconds-1904</t>
  </si>
  <si>
    <t>Inputs!F4*86400</t>
  </si>
  <si>
    <t>styled-submillisecond-datetime-1904</t>
  </si>
  <si>
    <t>Inputs!F5+0</t>
  </si>
  <si>
    <t>time-negative-1904</t>
  </si>
  <si>
    <t>TIME(-1,0,0)</t>
  </si>
  <si>
    <t>time-fraction-1904</t>
  </si>
  <si>
    <t>TIME(1,2,3)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</si>
</sst>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:mm:ss.000"/>
    <numFmt numFmtId="166" formatCode="yyyy\-mm\-dd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8.88671875" defaultRowHeight="14.4" x14ac:dyDescent="0.3"/>
  <sheetData>
    <row r="1" spans="1:6" x14ac:dyDescent="0.3">
      <c r="A1">
        <v>2</v>
      </c>
      <c r="B1" t="b">
        <v>1</v>
      </c>
      <c r="C1" t="s">
        <v>0</v>
      </c>
      <c r="D1" t="s">
        <v>1</v>
      </c>
      <c r="E1">
        <v>1</v>
      </c>
      <c r="F1" s="1">
        <v>59</v>
      </c>
    </row>
    <row r="2" spans="1:6" x14ac:dyDescent="0.3">
      <c r="A2">
        <v>4</v>
      </c>
      <c r="B2" t="b">
        <v>0</v>
      </c>
      <c r="C2" t="s">
        <v>2</v>
      </c>
      <c r="D2" t="s">
        <v>1</v>
      </c>
      <c r="E2">
        <v>2</v>
      </c>
      <c r="F2" s="1">
        <v>60</v>
      </c>
    </row>
    <row r="3" spans="1:6" x14ac:dyDescent="0.3">
      <c r="A3">
        <v>4</v>
      </c>
      <c r="B3" t="s">
        <v>3</v>
      </c>
      <c r="C3" t="s">
        <v>4</v>
      </c>
      <c r="D3" t="s">
        <v>5</v>
      </c>
      <c r="E3">
        <v>3</v>
      </c>
      <c r="F3" s="1">
        <v>61</v>
      </c>
    </row>
    <row r="4" spans="1:6" x14ac:dyDescent="0.3">
      <c r="A4">
        <v>8</v>
      </c>
      <c r="B4" t="s">
        <v>6</v>
      </c>
      <c r="C4" t="s">
        <v>7</v>
      </c>
      <c r="D4" t="s">
        <v>1</v>
      </c>
      <c r="E4">
        <v>4</v>
      </c>
      <c r="F4" s="2">
        <v>0.123456789012345</v>
      </c>
    </row>
    <row r="5" spans="1:6" x14ac:dyDescent="0.3">
      <c r="A5">
        <v>10</v>
      </c>
      <c r="C5" t="s">
        <v>8</v>
      </c>
      <c r="D5" t="s">
        <v>5</v>
      </c>
      <c r="E5">
        <v>5</v>
      </c>
      <c r="F5" s="3">
        <v>45292.123456788999</v>
      </c>
    </row>
    <row r="6" spans="1:6" x14ac:dyDescent="0.3">
      <c r="A6">
        <v>12</v>
      </c>
      <c r="B6">
        <v>0</v>
      </c>
      <c r="C6" t="s">
        <v>9</v>
      </c>
      <c r="D6" t="s">
        <v>1</v>
      </c>
      <c r="E6">
        <v>6</v>
      </c>
    </row>
    <row r="7" spans="1:6" x14ac:dyDescent="0.3">
      <c r="A7">
        <v>14</v>
      </c>
      <c r="B7" t="str">
        <f>""</f>
        <v/>
      </c>
      <c r="C7" t="s">
        <v>10</v>
      </c>
      <c r="D7" t="s">
        <v>5</v>
      </c>
      <c r="E7">
        <v>7</v>
      </c>
    </row>
    <row r="8" spans="1:6" x14ac:dyDescent="0.3">
      <c r="A8">
        <v>16</v>
      </c>
      <c r="B8">
        <v>5</v>
      </c>
      <c r="D8" t="s">
        <v>1</v>
      </c>
      <c r="E8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>
        <v>1</v>
      </c>
      <c r="B1" t="s">
        <v>11</v>
      </c>
      <c r="D1">
        <v>9</v>
      </c>
    </row>
    <row r="2" spans="1:4" x14ac:dyDescent="0.3">
      <c r="A2">
        <v>3</v>
      </c>
      <c r="B2" t="s">
        <v>12</v>
      </c>
      <c r="D2">
        <v>5</v>
      </c>
    </row>
    <row r="3" spans="1:4" x14ac:dyDescent="0.3">
      <c r="A3">
        <v>5</v>
      </c>
      <c r="B3" t="s">
        <v>13</v>
      </c>
      <c r="D3">
        <v>3</v>
      </c>
    </row>
    <row r="4" spans="1:4" x14ac:dyDescent="0.3">
      <c r="A4">
        <v>9</v>
      </c>
      <c r="B4" t="s">
        <v>14</v>
      </c>
      <c r="D4">
        <v>1</v>
      </c>
    </row>
    <row r="6" spans="1:4" x14ac:dyDescent="0.3">
      <c r="A6">
        <v>1</v>
      </c>
      <c r="B6">
        <v>3</v>
      </c>
      <c r="C6">
        <v>5</v>
      </c>
      <c r="D6">
        <v>9</v>
      </c>
    </row>
    <row r="7" spans="1:4" x14ac:dyDescent="0.3">
      <c r="A7">
        <v>10</v>
      </c>
      <c r="B7">
        <v>30</v>
      </c>
      <c r="C7">
        <v>50</v>
      </c>
      <c r="D7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4</v>
      </c>
      <c r="B2">
        <v>5</v>
      </c>
      <c r="C2">
        <v>6</v>
      </c>
    </row>
    <row r="3" spans="1:3" x14ac:dyDescent="0.3">
      <c r="A3">
        <v>7</v>
      </c>
      <c r="B3">
        <v>8</v>
      </c>
      <c r="C3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>
        <v>1</v>
      </c>
      <c r="B1">
        <v>10</v>
      </c>
    </row>
    <row r="2" spans="1:2" hidden="1" x14ac:dyDescent="0.3">
      <c r="A2">
        <v>2</v>
      </c>
      <c r="B2">
        <v>20</v>
      </c>
    </row>
    <row r="3" spans="1:2" x14ac:dyDescent="0.3">
      <c r="A3">
        <v>3</v>
      </c>
    </row>
    <row r="4" spans="1:2" x14ac:dyDescent="0.3">
      <c r="A4">
        <v>4</v>
      </c>
    </row>
    <row r="5" spans="1:2" hidden="1" x14ac:dyDescent="0.3">
      <c r="A5">
        <v>5</v>
      </c>
    </row>
    <row r="6" spans="1:2" x14ac:dyDescent="0.3">
      <c r="A6">
        <f>SUBTOTAL(9,B1:B2)</f>
        <v>30</v>
      </c>
    </row>
    <row r="7" spans="1:2" x14ac:dyDescent="0.3">
      <c r="A7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>
        <v>-1000</v>
      </c>
    </row>
    <row r="2" spans="1:1" x14ac:dyDescent="0.3">
      <c r="A2">
        <v>300</v>
      </c>
    </row>
    <row r="3" spans="1:1" x14ac:dyDescent="0.3">
      <c r="A3">
        <v>400</v>
      </c>
    </row>
    <row r="4" spans="1:1" x14ac:dyDescent="0.3">
      <c r="A4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workbookViewId="0"/>
  </sheetViews>
  <sheetFormatPr baseColWidth="10" defaultColWidth="8.88671875" defaultRowHeight="14.4" x14ac:dyDescent="0.3"/>
  <sheetData>
    <row r="1" spans="1:1" x14ac:dyDescent="0.3">
      <c r="A1" t="e">
        <v>#NULL!</v>
      </c>
    </row>
    <row r="2" spans="1:1" x14ac:dyDescent="0.3">
      <c r="A2" t="e">
        <v>#DIV/0!</v>
      </c>
    </row>
    <row r="3" spans="1:1" x14ac:dyDescent="0.3">
      <c r="A3" t="e">
        <v>#VALUE!</v>
      </c>
    </row>
    <row r="4" spans="1:1" x14ac:dyDescent="0.3">
      <c r="A4" t="e">
        <v>#REF!</v>
      </c>
    </row>
    <row r="5" spans="1:1" x14ac:dyDescent="0.3">
      <c r="A5" t="e">
        <v>#NAME?</v>
      </c>
    </row>
    <row r="6" spans="1:1" x14ac:dyDescent="0.3">
      <c r="A6" t="e">
        <v>#NUM!</v>
      </c>
    </row>
    <row r="7" spans="1:1" x14ac:dyDescent="0.3">
      <c r="A7" t="e">
        <v>#N/A</v>
      </c>
    </row>
    <row r="8" spans="1:1" x14ac:dyDescent="0.3">
      <c r="A8" t="e">
        <v>#N/A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>
        <v>100000000001</v>
      </c>
    </row>
    <row r="2" spans="1:1" x14ac:dyDescent="0.3">
      <c r="A2">
        <v>100000000002</v>
      </c>
    </row>
    <row r="3" spans="1:1" x14ac:dyDescent="0.3">
      <c r="A3">
        <v>100000000003</v>
      </c>
    </row>
    <row r="4" spans="1:1" x14ac:dyDescent="0.3">
      <c r="A4">
        <v>100000000004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 t="e">
        <f>DATE(1900,2,29)</f>
        <v>#NUM!</v>
      </c>
      <c r="C2" t="s">
        <v>21</v>
      </c>
      <c r="D2" t="s">
        <v>22</v>
      </c>
    </row>
    <row r="3" spans="1:4" x14ac:dyDescent="0.3">
      <c r="A3" t="s">
        <v>23</v>
      </c>
      <c r="B3">
        <f>DAY(60)</f>
        <v>1</v>
      </c>
      <c r="C3" t="s">
        <v>21</v>
      </c>
      <c r="D3" t="s">
        <v>24</v>
      </c>
    </row>
    <row r="4" spans="1:4" x14ac:dyDescent="0.3">
      <c r="A4" t="s">
        <v>25</v>
      </c>
      <c r="B4">
        <f>MONTH(60)</f>
        <v>3</v>
      </c>
      <c r="C4" t="s">
        <v>21</v>
      </c>
      <c r="D4" t="s">
        <v>26</v>
      </c>
    </row>
    <row r="5" spans="1:4" x14ac:dyDescent="0.3">
      <c r="A5" t="s">
        <v>27</v>
      </c>
      <c r="B5">
        <f>YEAR(60)</f>
        <v>1904</v>
      </c>
      <c r="C5" t="s">
        <v>21</v>
      </c>
      <c r="D5" t="s">
        <v>28</v>
      </c>
    </row>
    <row r="6" spans="1:4" x14ac:dyDescent="0.3">
      <c r="A6" t="s">
        <v>29</v>
      </c>
      <c r="B6">
        <f>WEEKDAY(61)</f>
        <v>4</v>
      </c>
      <c r="C6" t="s">
        <v>21</v>
      </c>
      <c r="D6" t="s">
        <v>30</v>
      </c>
    </row>
    <row r="7" spans="1:4" x14ac:dyDescent="0.3">
      <c r="A7" t="s">
        <v>31</v>
      </c>
      <c r="B7">
        <f>WEEKDAY(61,2)</f>
        <v>3</v>
      </c>
      <c r="C7" t="s">
        <v>21</v>
      </c>
      <c r="D7" t="s">
        <v>32</v>
      </c>
    </row>
    <row r="8" spans="1:4" x14ac:dyDescent="0.3">
      <c r="A8" t="s">
        <v>33</v>
      </c>
      <c r="B8">
        <f>DATE(2024,14,0)</f>
        <v>44226</v>
      </c>
      <c r="C8" t="s">
        <v>21</v>
      </c>
      <c r="D8" t="s">
        <v>34</v>
      </c>
    </row>
    <row r="9" spans="1:4" x14ac:dyDescent="0.3">
      <c r="A9" t="s">
        <v>35</v>
      </c>
      <c r="B9">
        <f>DATE(2024,3,-1)</f>
        <v>43888</v>
      </c>
      <c r="C9" t="s">
        <v>21</v>
      </c>
      <c r="D9" t="s">
        <v>36</v>
      </c>
    </row>
    <row r="10" spans="1:4" x14ac:dyDescent="0.3">
      <c r="A10" t="s">
        <v>37</v>
      </c>
      <c r="B10">
        <f>DATE(24,1,1)</f>
        <v>7305</v>
      </c>
      <c r="C10" t="s">
        <v>21</v>
      </c>
      <c r="D10" t="s">
        <v>38</v>
      </c>
    </row>
    <row r="11" spans="1:4" x14ac:dyDescent="0.3">
      <c r="A11" t="s">
        <v>39</v>
      </c>
      <c r="B11">
        <f>DATE(1904,1,1)</f>
        <v>0</v>
      </c>
      <c r="C11" t="s">
        <v>21</v>
      </c>
      <c r="D11" t="s">
        <v>40</v>
      </c>
    </row>
    <row r="12" spans="1:4" x14ac:dyDescent="0.3">
      <c r="A12" t="s">
        <v>41</v>
      </c>
      <c r="B12">
        <f>EDATE(DATE(2024,3,31),-1)</f>
        <v>43889</v>
      </c>
      <c r="C12" t="s">
        <v>21</v>
      </c>
      <c r="D12" t="s">
        <v>42</v>
      </c>
    </row>
    <row r="13" spans="1:4" x14ac:dyDescent="0.3">
      <c r="A13" t="s">
        <v>43</v>
      </c>
      <c r="B13">
        <f>EOMONTH(DATE(2024,1,1),-1)</f>
        <v>43829</v>
      </c>
      <c r="C13" t="s">
        <v>21</v>
      </c>
      <c r="D13" t="s">
        <v>44</v>
      </c>
    </row>
    <row r="14" spans="1:4" x14ac:dyDescent="0.3">
      <c r="A14" t="s">
        <v>45</v>
      </c>
      <c r="B14">
        <f>Inputs!F1+0</f>
        <v>59</v>
      </c>
      <c r="C14" t="s">
        <v>21</v>
      </c>
      <c r="D14" t="s">
        <v>46</v>
      </c>
    </row>
    <row r="15" spans="1:4" x14ac:dyDescent="0.3">
      <c r="A15" t="s">
        <v>47</v>
      </c>
      <c r="B15">
        <f>Inputs!F2+0</f>
        <v>60</v>
      </c>
      <c r="C15" t="s">
        <v>21</v>
      </c>
      <c r="D15" t="s">
        <v>48</v>
      </c>
    </row>
    <row r="16" spans="1:4" x14ac:dyDescent="0.3">
      <c r="A16" t="s">
        <v>49</v>
      </c>
      <c r="B16">
        <f>Inputs!F3+0</f>
        <v>61</v>
      </c>
      <c r="C16" t="s">
        <v>21</v>
      </c>
      <c r="D16" t="s">
        <v>50</v>
      </c>
    </row>
    <row r="17" spans="1:4" x14ac:dyDescent="0.3">
      <c r="A17" t="s">
        <v>51</v>
      </c>
      <c r="B17">
        <f>DAY(Inputs!F2)</f>
        <v>1</v>
      </c>
      <c r="C17" t="s">
        <v>21</v>
      </c>
      <c r="D17" t="s">
        <v>52</v>
      </c>
    </row>
    <row r="18" spans="1:4" x14ac:dyDescent="0.3">
      <c r="A18" t="s">
        <v>53</v>
      </c>
      <c r="B18">
        <f>Inputs!F4+0</f>
        <v>0.123456789012345</v>
      </c>
      <c r="C18" t="s">
        <v>21</v>
      </c>
      <c r="D18" t="s">
        <v>54</v>
      </c>
    </row>
    <row r="19" spans="1:4" x14ac:dyDescent="0.3">
      <c r="A19" t="s">
        <v>55</v>
      </c>
      <c r="B19">
        <f>Inputs!F4*86400</f>
        <v>10666.666570666608</v>
      </c>
      <c r="C19" t="s">
        <v>21</v>
      </c>
      <c r="D19" t="s">
        <v>56</v>
      </c>
    </row>
    <row r="20" spans="1:4" x14ac:dyDescent="0.3">
      <c r="A20" t="s">
        <v>57</v>
      </c>
      <c r="B20">
        <f>Inputs!F5+0</f>
        <v>45292.123456788999</v>
      </c>
      <c r="C20" t="s">
        <v>21</v>
      </c>
      <c r="D20" t="s">
        <v>58</v>
      </c>
    </row>
    <row r="21" spans="1:4" x14ac:dyDescent="0.3">
      <c r="A21" t="s">
        <v>59</v>
      </c>
      <c r="B21" t="e">
        <f>TIME(-1,0,0)</f>
        <v>#NUM!</v>
      </c>
      <c r="C21" t="s">
        <v>21</v>
      </c>
      <c r="D21" t="s">
        <v>60</v>
      </c>
    </row>
    <row r="22" spans="1:4" x14ac:dyDescent="0.3">
      <c r="A22" t="s">
        <v>61</v>
      </c>
      <c r="B22">
        <f>TIME(1,2,3)</f>
        <v>4.3090277777777776E-2</v>
      </c>
      <c r="C22" t="s">
        <v>21</v>
      </c>
      <c r="D22" t="s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Inputs</vt:lpstr>
      <vt:lpstr>Lookup</vt:lpstr>
      <vt:lpstr>Matrix</vt:lpstr>
      <vt:lpstr>Hidden</vt:lpstr>
      <vt:lpstr>Flows</vt:lpstr>
      <vt:lpstr>Errors</vt:lpstr>
      <vt:lpstr>Stability</vt:lpstr>
      <vt:lpstr>Jan</vt:lpstr>
      <vt:lpstr>Feb</vt:lpstr>
      <vt:lpstr>Mar</vt:lpstr>
      <vt:lpstr>Cases</vt:lpstr>
      <vt:lpstr>Scoped</vt:lpstr>
      <vt:lpstr>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yggdryl local P5 input builder</dc:creator>
  <cp:lastModifiedBy>Nicolas Fillot</cp:lastModifiedBy>
  <dcterms:created xsi:type="dcterms:W3CDTF">2026-10-01T00:00:00Z</dcterms:created>
  <dcterms:modified xsi:type="dcterms:W3CDTF">2026-10-02T01:55:20Z</dcterms:modified>
</cp:coreProperties>
</file>