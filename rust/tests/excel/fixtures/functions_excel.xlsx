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ython\yggdryl\rust\target\excel-desktop\p5-functions-adapted-text-v3\"/>
    </mc:Choice>
  </mc:AlternateContent>
  <xr:revisionPtr revIDLastSave="0" documentId="8_{3597D30B-45D9-4469-9EB9-1C8BB69A5398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Inputs" sheetId="1" r:id="rId1"/>
    <sheet name="Lookup" sheetId="2" r:id="rId2"/>
    <sheet name="Matrix" sheetId="3" r:id="rId3"/>
    <sheet name="Hidden" sheetId="4" r:id="rId4"/>
    <sheet name="Flows" sheetId="5" r:id="rId5"/>
    <sheet name="Errors" sheetId="6" r:id="rId6"/>
    <sheet name="Stability" sheetId="7" r:id="rId7"/>
    <sheet name="Jan" sheetId="8" r:id="rId8"/>
    <sheet name="Feb" sheetId="9" r:id="rId9"/>
    <sheet name="Mar" sheetId="10" r:id="rId10"/>
    <sheet name="Cases" sheetId="11" r:id="rId11"/>
    <sheet name="Scoped" sheetId="12" r:id="rId12"/>
  </sheets>
  <definedNames>
    <definedName name="GlobalRate">0.125</definedName>
    <definedName name="Numbers">Inputs!$A$1:$A$8</definedName>
    <definedName name="Rate" localSheetId="11">0.2</definedName>
    <definedName name="Rate">0.1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298" i="11" l="1"/>
  <c r="XFD228" i="11"/>
  <c r="XFD226" i="11"/>
  <c r="XFD122" i="11"/>
  <c r="B2" i="12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0" i="11"/>
  <c r="B179" i="11"/>
  <c r="B178" i="11"/>
  <c r="B177" i="11"/>
  <c r="B176" i="11"/>
  <c r="B175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5" i="11"/>
  <c r="B94" i="11"/>
  <c r="B93" i="11"/>
  <c r="B92" i="11"/>
  <c r="B91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59" i="11"/>
  <c r="B58" i="11"/>
  <c r="B57" i="11"/>
  <c r="B55" i="11"/>
  <c r="B54" i="11"/>
  <c r="B53" i="11"/>
  <c r="B52" i="11"/>
  <c r="B48" i="11"/>
  <c r="B47" i="11"/>
  <c r="B45" i="11"/>
  <c r="B44" i="11"/>
  <c r="B43" i="11"/>
  <c r="B42" i="11"/>
  <c r="B41" i="11"/>
  <c r="B40" i="11"/>
  <c r="B39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A6" i="4"/>
  <c r="B278" i="11" s="1"/>
  <c r="B7" i="1"/>
  <c r="B181" i="11" s="1"/>
  <c r="B96" i="11"/>
  <c r="B202" i="11"/>
  <c r="B90" i="11"/>
  <c r="B174" i="11" l="1"/>
  <c r="B50" i="11"/>
  <c r="B51" i="11"/>
  <c r="B38" i="11"/>
  <c r="B262" i="11"/>
  <c r="B267" i="11"/>
  <c r="B271" i="11"/>
  <c r="B56" i="11"/>
  <c r="B272" i="11"/>
  <c r="B261" i="11"/>
  <c r="B268" i="11"/>
  <c r="B273" i="11"/>
  <c r="B274" i="11"/>
  <c r="B46" i="11"/>
  <c r="B279" i="11"/>
  <c r="B280" i="11"/>
  <c r="B260" i="11"/>
  <c r="B259" i="11"/>
  <c r="B269" i="11"/>
  <c r="B270" i="11"/>
  <c r="B263" i="11"/>
  <c r="B275" i="11"/>
  <c r="B60" i="11"/>
  <c r="B216" i="11"/>
  <c r="B264" i="11"/>
  <c r="B276" i="11"/>
  <c r="B49" i="11"/>
  <c r="B265" i="11"/>
  <c r="B277" i="11"/>
  <c r="B266" i="11"/>
</calcChain>
</file>

<file path=xl/sharedStrings.xml><?xml version="1.0" encoding="utf-8"?>
<sst xmlns="http://schemas.openxmlformats.org/spreadsheetml/2006/main" count="939" uniqueCount="623">
  <si>
    <t>apple</t>
  </si>
  <si>
    <t>red</t>
  </si>
  <si>
    <t>apricot</t>
  </si>
  <si>
    <t>3</t>
  </si>
  <si>
    <t>a*b</t>
  </si>
  <si>
    <t>blue</t>
  </si>
  <si>
    <t>x</t>
  </si>
  <si>
    <t>A?b</t>
  </si>
  <si>
    <t>berry</t>
  </si>
  <si>
    <t>alpha</t>
  </si>
  <si>
    <t>~</t>
  </si>
  <si>
    <t>one</t>
  </si>
  <si>
    <t>three</t>
  </si>
  <si>
    <t>five</t>
  </si>
  <si>
    <t>nine</t>
  </si>
  <si>
    <t>text</t>
  </si>
  <si>
    <t>Case ID</t>
  </si>
  <si>
    <t>Native formula result</t>
  </si>
  <si>
    <t>Mode</t>
  </si>
  <si>
    <t>Original formula</t>
  </si>
  <si>
    <t>function-abs</t>
  </si>
  <si>
    <t>cached_equal</t>
  </si>
  <si>
    <t>ABS(-7.25)</t>
  </si>
  <si>
    <t>function-acos</t>
  </si>
  <si>
    <t>ACOS(0.25)</t>
  </si>
  <si>
    <t>function-asin</t>
  </si>
  <si>
    <t>ASIN(-0.25)</t>
  </si>
  <si>
    <t>function-atan</t>
  </si>
  <si>
    <t>ATAN(2)</t>
  </si>
  <si>
    <t>function-atan2</t>
  </si>
  <si>
    <t>ATAN2(-3,4)</t>
  </si>
  <si>
    <t>function-ceiling</t>
  </si>
  <si>
    <t>CEILING(4.3,0.5)</t>
  </si>
  <si>
    <t>function-ceiling-math</t>
  </si>
  <si>
    <t>CEILING.MATH(-4.3,2,1)</t>
  </si>
  <si>
    <t>function-cos</t>
  </si>
  <si>
    <t>COS(0.75)</t>
  </si>
  <si>
    <t>function-degrees</t>
  </si>
  <si>
    <t>DEGREES(1.25)</t>
  </si>
  <si>
    <t>function-even</t>
  </si>
  <si>
    <t>EVEN(-3.2)</t>
  </si>
  <si>
    <t>function-exp</t>
  </si>
  <si>
    <t>EXP(1.5)</t>
  </si>
  <si>
    <t>function-fact</t>
  </si>
  <si>
    <t>FACT(7)</t>
  </si>
  <si>
    <t>function-floor</t>
  </si>
  <si>
    <t>FLOOR(4.7,0.5)</t>
  </si>
  <si>
    <t>function-floor-math</t>
  </si>
  <si>
    <t>FLOOR.MATH(-4.3,2,1)</t>
  </si>
  <si>
    <t>function-gcd</t>
  </si>
  <si>
    <t>GCD(24,36,54)</t>
  </si>
  <si>
    <t>function-int</t>
  </si>
  <si>
    <t>INT(-3.2)</t>
  </si>
  <si>
    <t>function-lcm</t>
  </si>
  <si>
    <t>LCM(6,8,9)</t>
  </si>
  <si>
    <t>function-ln</t>
  </si>
  <si>
    <t>LN(2.5)</t>
  </si>
  <si>
    <t>function-log</t>
  </si>
  <si>
    <t>LOG(125,5)</t>
  </si>
  <si>
    <t>function-log10</t>
  </si>
  <si>
    <t>LOG10(1000)</t>
  </si>
  <si>
    <t>function-mod</t>
  </si>
  <si>
    <t>MOD(-7,3)</t>
  </si>
  <si>
    <t>function-mround</t>
  </si>
  <si>
    <t>MROUND(10,3)</t>
  </si>
  <si>
    <t>function-odd</t>
  </si>
  <si>
    <t>ODD(-2.1)</t>
  </si>
  <si>
    <t>function-pi</t>
  </si>
  <si>
    <t>PI()</t>
  </si>
  <si>
    <t>function-power</t>
  </si>
  <si>
    <t>POWER(2.5,3)</t>
  </si>
  <si>
    <t>function-product</t>
  </si>
  <si>
    <t>PRODUCT(Inputs!A1:A4)</t>
  </si>
  <si>
    <t>function-quotient</t>
  </si>
  <si>
    <t>QUOTIENT(-7,3)</t>
  </si>
  <si>
    <t>function-radians</t>
  </si>
  <si>
    <t>RADIANS(135)</t>
  </si>
  <si>
    <t>function-rand</t>
  </si>
  <si>
    <t>behavior_only</t>
  </si>
  <si>
    <t>RAND()</t>
  </si>
  <si>
    <t>function-randbetween</t>
  </si>
  <si>
    <t>RANDBETWEEN(-5,7)</t>
  </si>
  <si>
    <t>function-round</t>
  </si>
  <si>
    <t>ROUND(2.675,2)</t>
  </si>
  <si>
    <t>function-rounddown</t>
  </si>
  <si>
    <t>ROUNDDOWN(-3.14159,3)</t>
  </si>
  <si>
    <t>function-roundup</t>
  </si>
  <si>
    <t>ROUNDUP(-3.14159,3)</t>
  </si>
  <si>
    <t>function-sign</t>
  </si>
  <si>
    <t>SIGN(-0.001)</t>
  </si>
  <si>
    <t>function-sin</t>
  </si>
  <si>
    <t>SIN(0.75)</t>
  </si>
  <si>
    <t>function-sqrt</t>
  </si>
  <si>
    <t>SQRT(2)</t>
  </si>
  <si>
    <t>function-subtotal</t>
  </si>
  <si>
    <t>SUBTOTAL(9,Hidden!A1:A8)</t>
  </si>
  <si>
    <t>function-sum</t>
  </si>
  <si>
    <t>SUM(Inputs!A1:A8)</t>
  </si>
  <si>
    <t>function-sumif</t>
  </si>
  <si>
    <t>SUMIF(Inputs!C1:C8,"a*",Inputs!A1:A8)</t>
  </si>
  <si>
    <t>function-sumifs</t>
  </si>
  <si>
    <t>SUMIFS(Inputs!A1:A8,Inputs!C1:C8,"a*",Inputs!D1:D8,"red")</t>
  </si>
  <si>
    <t>function-sumproduct</t>
  </si>
  <si>
    <t>SUMPRODUCT(Inputs!A1:A8,Inputs!E1:E8)</t>
  </si>
  <si>
    <t>function-tan</t>
  </si>
  <si>
    <t>TAN(0.75)</t>
  </si>
  <si>
    <t>function-trunc</t>
  </si>
  <si>
    <t>TRUNC(-3.14159,3)</t>
  </si>
  <si>
    <t>function-average</t>
  </si>
  <si>
    <t>AVERAGE(Inputs!A1:A8)</t>
  </si>
  <si>
    <t>function-averagea</t>
  </si>
  <si>
    <t>AVERAGEA(Inputs!B1:B8)</t>
  </si>
  <si>
    <t>function-averageif</t>
  </si>
  <si>
    <t>AVERAGEIF(Inputs!C1:C8,"a*",Inputs!A1:A8)</t>
  </si>
  <si>
    <t>function-averageifs</t>
  </si>
  <si>
    <t>AVERAGEIFS(Inputs!A1:A8,Inputs!C1:C8,"a*",Inputs!D1:D8,"red")</t>
  </si>
  <si>
    <t>function-count</t>
  </si>
  <si>
    <t>COUNT(Inputs!B1:B8)</t>
  </si>
  <si>
    <t>function-counta</t>
  </si>
  <si>
    <t>COUNTA(Inputs!B1:B8)</t>
  </si>
  <si>
    <t>function-countblank</t>
  </si>
  <si>
    <t>COUNTBLANK(Inputs!B1:B8)</t>
  </si>
  <si>
    <t>function-countif</t>
  </si>
  <si>
    <t>COUNTIF(Inputs!C1:C8,"a*")</t>
  </si>
  <si>
    <t>function-countifs</t>
  </si>
  <si>
    <t>COUNTIFS(Inputs!C1:C8,"a*",Inputs!D1:D8,"red")</t>
  </si>
  <si>
    <t>function-large</t>
  </si>
  <si>
    <t>LARGE(Inputs!A1:A8,3)</t>
  </si>
  <si>
    <t>function-max</t>
  </si>
  <si>
    <t>MAX(Inputs!A1:A8)</t>
  </si>
  <si>
    <t>function-maxa</t>
  </si>
  <si>
    <t>MAXA(Inputs!B1:B8)</t>
  </si>
  <si>
    <t>function-maxifs</t>
  </si>
  <si>
    <t>MAXIFS(Inputs!A1:A8,Inputs!D1:D8,"red")</t>
  </si>
  <si>
    <t>function-median</t>
  </si>
  <si>
    <t>MEDIAN(Inputs!A1:A8)</t>
  </si>
  <si>
    <t>function-min</t>
  </si>
  <si>
    <t>MIN(Inputs!A1:A8)</t>
  </si>
  <si>
    <t>function-mina</t>
  </si>
  <si>
    <t>MINA(Inputs!B1:B8)</t>
  </si>
  <si>
    <t>function-minifs</t>
  </si>
  <si>
    <t>MINIFS(Inputs!A1:A8,Inputs!D1:D8,"blue")</t>
  </si>
  <si>
    <t>function-mode</t>
  </si>
  <si>
    <t>MODE(Inputs!A1:A8)</t>
  </si>
  <si>
    <t>function-mode-sngl</t>
  </si>
  <si>
    <t>MODE.SNGL(Inputs!A1:A8)</t>
  </si>
  <si>
    <t>function-percentile</t>
  </si>
  <si>
    <t>PERCENTILE(Inputs!A1:A8,0.3)</t>
  </si>
  <si>
    <t>function-percentile-inc</t>
  </si>
  <si>
    <t>PERCENTILE.INC(Inputs!A1:A8,0.3)</t>
  </si>
  <si>
    <t>function-quartile</t>
  </si>
  <si>
    <t>QUARTILE(Inputs!A1:A8,1)</t>
  </si>
  <si>
    <t>function-quartile-inc</t>
  </si>
  <si>
    <t>QUARTILE.INC(Inputs!A1:A8,3)</t>
  </si>
  <si>
    <t>function-rank</t>
  </si>
  <si>
    <t>RANK(8,Inputs!A1:A8,0)</t>
  </si>
  <si>
    <t>function-rank-eq</t>
  </si>
  <si>
    <t>RANK.EQ(4,Inputs!A1:A8,1)</t>
  </si>
  <si>
    <t>function-small</t>
  </si>
  <si>
    <t>SMALL(Inputs!A1:A8,3)</t>
  </si>
  <si>
    <t>function-stdev</t>
  </si>
  <si>
    <t>STDEV(Inputs!A1:A8)</t>
  </si>
  <si>
    <t>function-stdev-p</t>
  </si>
  <si>
    <t>STDEV.P(Inputs!A1:A8)</t>
  </si>
  <si>
    <t>function-stdev-s</t>
  </si>
  <si>
    <t>STDEV.S(Inputs!A1:A8)</t>
  </si>
  <si>
    <t>function-stdevp</t>
  </si>
  <si>
    <t>STDEVP(Inputs!A1:A8)</t>
  </si>
  <si>
    <t>function-var</t>
  </si>
  <si>
    <t>VAR(Inputs!A1:A8)</t>
  </si>
  <si>
    <t>function-var-p</t>
  </si>
  <si>
    <t>VAR.P(Inputs!A1:A8)</t>
  </si>
  <si>
    <t>function-var-s</t>
  </si>
  <si>
    <t>VAR.S(Inputs!A1:A8)</t>
  </si>
  <si>
    <t>function-varp</t>
  </si>
  <si>
    <t>VARP(Inputs!A1:A8)</t>
  </si>
  <si>
    <t>function-and</t>
  </si>
  <si>
    <t>AND(TRUE,2,Inputs!A1&gt;0)</t>
  </si>
  <si>
    <t>function-false</t>
  </si>
  <si>
    <t>FALSE()</t>
  </si>
  <si>
    <t>function-if</t>
  </si>
  <si>
    <t>IF(Inputs!A1&gt;0,11,1/0)</t>
  </si>
  <si>
    <t>function-iferror</t>
  </si>
  <si>
    <t>IFERROR(1/0,17)</t>
  </si>
  <si>
    <t>function-ifna</t>
  </si>
  <si>
    <t>IFNA(NA(),19)</t>
  </si>
  <si>
    <t>function-ifs</t>
  </si>
  <si>
    <t>IFS(FALSE,1,Inputs!A1=2,2,TRUE,3)</t>
  </si>
  <si>
    <t>function-not</t>
  </si>
  <si>
    <t>NOT(0)</t>
  </si>
  <si>
    <t>function-or</t>
  </si>
  <si>
    <t>OR(FALSE,0,Inputs!A1)</t>
  </si>
  <si>
    <t>function-switch</t>
  </si>
  <si>
    <t>SWITCH(3,1,"one",3,"three","other")</t>
  </si>
  <si>
    <t>function-true</t>
  </si>
  <si>
    <t>TRUE()</t>
  </si>
  <si>
    <t>function-xor</t>
  </si>
  <si>
    <t>XOR(TRUE,FALSE,TRUE)</t>
  </si>
  <si>
    <t>function-address</t>
  </si>
  <si>
    <t>ADDRESS(3,4,2,TRUE,"Q1 Sales")</t>
  </si>
  <si>
    <t>function-choose</t>
  </si>
  <si>
    <t>CHOOSE(2,"red","green","blue")</t>
  </si>
  <si>
    <t>function-column</t>
  </si>
  <si>
    <t>COLUMN(Matrix!B2)</t>
  </si>
  <si>
    <t>function-columns</t>
  </si>
  <si>
    <t>COLUMNS(Matrix!A1:C3)</t>
  </si>
  <si>
    <t>function-hlookup</t>
  </si>
  <si>
    <t>HLOOKUP(4,Lookup!A6:D7,2,TRUE)</t>
  </si>
  <si>
    <t>function-index</t>
  </si>
  <si>
    <t>INDEX(Matrix!A1:C3,2,3)</t>
  </si>
  <si>
    <t>function-indirect</t>
  </si>
  <si>
    <t>INDIRECT("Matrix!B2",TRUE)</t>
  </si>
  <si>
    <t>function-lookup</t>
  </si>
  <si>
    <t>LOOKUP(4,Lookup!A1:A4,Lookup!B1:B4)</t>
  </si>
  <si>
    <t>function-match</t>
  </si>
  <si>
    <t>MATCH(4,Lookup!A1:A4,1)</t>
  </si>
  <si>
    <t>function-offset</t>
  </si>
  <si>
    <t>SUM(OFFSET(Matrix!A1,1,1,2,2))</t>
  </si>
  <si>
    <t>function-row</t>
  </si>
  <si>
    <t>ROW(Matrix!B2)</t>
  </si>
  <si>
    <t>function-rows</t>
  </si>
  <si>
    <t>ROWS(Matrix!A1:C3)</t>
  </si>
  <si>
    <t>function-vlookup</t>
  </si>
  <si>
    <t>VLOOKUP(4,Lookup!A1:B4,2,TRUE)</t>
  </si>
  <si>
    <t>function-xlookup</t>
  </si>
  <si>
    <t>XLOOKUP(5,Lookup!A1:A4,Lookup!B1:B4,"missing",0)</t>
  </si>
  <si>
    <t>function-char</t>
  </si>
  <si>
    <t>CHAR(65)</t>
  </si>
  <si>
    <t>function-clean</t>
  </si>
  <si>
    <t>CLEAN("a"&amp;CHAR(9)&amp;"b"&amp;CHAR(10)&amp;"c")</t>
  </si>
  <si>
    <t>function-code</t>
  </si>
  <si>
    <t>CODE("Az")</t>
  </si>
  <si>
    <t>function-concat</t>
  </si>
  <si>
    <t>CONCAT(Inputs!C1:C3)</t>
  </si>
  <si>
    <t>function-concatenate</t>
  </si>
  <si>
    <t>CONCATENATE("a",12,TRUE)</t>
  </si>
  <si>
    <t>function-exact</t>
  </si>
  <si>
    <t>EXACT("Abc","abc")</t>
  </si>
  <si>
    <t>function-find</t>
  </si>
  <si>
    <t>FIND("b","ababa",3)</t>
  </si>
  <si>
    <t>function-left</t>
  </si>
  <si>
    <t>LEFT("alpha",3)</t>
  </si>
  <si>
    <t>function-len</t>
  </si>
  <si>
    <t>LEN(" alpha ")</t>
  </si>
  <si>
    <t>function-lower</t>
  </si>
  <si>
    <t>LOWER("AbC 19")</t>
  </si>
  <si>
    <t>function-mid</t>
  </si>
  <si>
    <t>MID("alphabet",3,4)</t>
  </si>
  <si>
    <t>function-proper</t>
  </si>
  <si>
    <t>PROPER("o'BRIEN 2ND avenue")</t>
  </si>
  <si>
    <t>function-replace</t>
  </si>
  <si>
    <t>REPLACE("abcdef",2,3,"XY")</t>
  </si>
  <si>
    <t>function-rept</t>
  </si>
  <si>
    <t>REPT("ab",3)</t>
  </si>
  <si>
    <t>function-right</t>
  </si>
  <si>
    <t>RIGHT("alpha",2)</t>
  </si>
  <si>
    <t>function-search</t>
  </si>
  <si>
    <t>SEARCH("a?c","xxAbCyy")</t>
  </si>
  <si>
    <t>function-substitute</t>
  </si>
  <si>
    <t>SUBSTITUTE("a-b-a-b","a","X",2)</t>
  </si>
  <si>
    <t>function-t</t>
  </si>
  <si>
    <t>T(Inputs!C1)</t>
  </si>
  <si>
    <t>function-text</t>
  </si>
  <si>
    <t>TEXT(1234.5,"0.00")</t>
  </si>
  <si>
    <t>function-textjoin</t>
  </si>
  <si>
    <t>TEXTJOIN("|",TRUE,Inputs!C1:C3)</t>
  </si>
  <si>
    <t>function-trim</t>
  </si>
  <si>
    <t>TRIM("  a   b  ")</t>
  </si>
  <si>
    <t>function-upper</t>
  </si>
  <si>
    <t>UPPER("Abc 19")</t>
  </si>
  <si>
    <t>function-value</t>
  </si>
  <si>
    <t>VALUE("123.5")</t>
  </si>
  <si>
    <t>function-date</t>
  </si>
  <si>
    <t>DATE(2024,2,29)</t>
  </si>
  <si>
    <t>function-datevalue</t>
  </si>
  <si>
    <t>DATEVALUE("2024-01-31")</t>
  </si>
  <si>
    <t>function-day</t>
  </si>
  <si>
    <t>DAY(DATE(2024,2,29))</t>
  </si>
  <si>
    <t>function-days</t>
  </si>
  <si>
    <t>DAYS(DATE(2024,3,1),DATE(2024,2,28))</t>
  </si>
  <si>
    <t>function-edate</t>
  </si>
  <si>
    <t>EDATE(DATE(2024,1,31),1)</t>
  </si>
  <si>
    <t>function-eomonth</t>
  </si>
  <si>
    <t>EOMONTH(DATE(2024,1,15),1)</t>
  </si>
  <si>
    <t>function-hour</t>
  </si>
  <si>
    <t>HOUR(TIME(23,45,30))</t>
  </si>
  <si>
    <t>function-minute</t>
  </si>
  <si>
    <t>MINUTE(TIME(23,45,30))</t>
  </si>
  <si>
    <t>function-month</t>
  </si>
  <si>
    <t>MONTH(DATE(2024,2,29))</t>
  </si>
  <si>
    <t>function-now</t>
  </si>
  <si>
    <t>NOW()</t>
  </si>
  <si>
    <t>function-second</t>
  </si>
  <si>
    <t>SECOND(TIME(23,45,30))</t>
  </si>
  <si>
    <t>function-time</t>
  </si>
  <si>
    <t>TIME(25,90,75)</t>
  </si>
  <si>
    <t>function-timevalue</t>
  </si>
  <si>
    <t>TIMEVALUE("23:45:30")</t>
  </si>
  <si>
    <t>function-today</t>
  </si>
  <si>
    <t>TODAY()</t>
  </si>
  <si>
    <t>function-weekday</t>
  </si>
  <si>
    <t>WEEKDAY(61)</t>
  </si>
  <si>
    <t>function-year</t>
  </si>
  <si>
    <t>YEAR(DATE(2024,2,29))</t>
  </si>
  <si>
    <t>function-error-type</t>
  </si>
  <si>
    <t>ERROR.TYPE(NA())</t>
  </si>
  <si>
    <t>function-isblank</t>
  </si>
  <si>
    <t>ISBLANK(Inputs!B5)</t>
  </si>
  <si>
    <t>function-iserr</t>
  </si>
  <si>
    <t>ISERR(1/0)</t>
  </si>
  <si>
    <t>function-iserror</t>
  </si>
  <si>
    <t>ISERROR(NA())</t>
  </si>
  <si>
    <t>function-iseven</t>
  </si>
  <si>
    <t>ISEVEN(-3.9)</t>
  </si>
  <si>
    <t>function-islogical</t>
  </si>
  <si>
    <t>ISLOGICAL(Inputs!B1)</t>
  </si>
  <si>
    <t>function-isna</t>
  </si>
  <si>
    <t>ISNA(NA())</t>
  </si>
  <si>
    <t>function-isnontext</t>
  </si>
  <si>
    <t>ISNONTEXT(Inputs!B5)</t>
  </si>
  <si>
    <t>function-isnumber</t>
  </si>
  <si>
    <t>ISNUMBER(Inputs!B3)</t>
  </si>
  <si>
    <t>function-isodd</t>
  </si>
  <si>
    <t>ISODD(-3.9)</t>
  </si>
  <si>
    <t>function-isref</t>
  </si>
  <si>
    <t>ISREF(Matrix!A1)</t>
  </si>
  <si>
    <t>function-istext</t>
  </si>
  <si>
    <t>ISTEXT(Inputs!B3)</t>
  </si>
  <si>
    <t>function-n</t>
  </si>
  <si>
    <t>N(TRUE)</t>
  </si>
  <si>
    <t>function-na</t>
  </si>
  <si>
    <t>NA()</t>
  </si>
  <si>
    <t>function-fv</t>
  </si>
  <si>
    <t>FV(0.05/12,24,-100,-1000,0)</t>
  </si>
  <si>
    <t>function-npv</t>
  </si>
  <si>
    <t>NPV(0.1,Flows!A2:A4)+Flows!A1</t>
  </si>
  <si>
    <t>function-pmt</t>
  </si>
  <si>
    <t>PMT(0.05/12,24,1000,0,0)</t>
  </si>
  <si>
    <t>function-pv</t>
  </si>
  <si>
    <t>PV(0.05/12,24,-100,0,1)</t>
  </si>
  <si>
    <t>round-2675</t>
  </si>
  <si>
    <t>round-negative-half</t>
  </si>
  <si>
    <t>ROUND(-2.675,2)</t>
  </si>
  <si>
    <t>decimal-equality</t>
  </si>
  <si>
    <t>0.1+0.2=0.3</t>
  </si>
  <si>
    <t>cancellation</t>
  </si>
  <si>
    <t>1-0.9-0.1</t>
  </si>
  <si>
    <t>nested-cancellation</t>
  </si>
  <si>
    <t>(1-0.9-0.1)*1000000000000000</t>
  </si>
  <si>
    <t>unary-power</t>
  </si>
  <si>
    <t>-2^2</t>
  </si>
  <si>
    <t>left-power</t>
  </si>
  <si>
    <t>2^3^2</t>
  </si>
  <si>
    <t>percent-unary-power</t>
  </si>
  <si>
    <t>-20%^2</t>
  </si>
  <si>
    <t>divide-zero</t>
  </si>
  <si>
    <t>1/0</t>
  </si>
  <si>
    <t>zero-power-zero</t>
  </si>
  <si>
    <t>0^0</t>
  </si>
  <si>
    <t>numeric-overflow</t>
  </si>
  <si>
    <t>(2^1023)*10</t>
  </si>
  <si>
    <t>subnormal-flush</t>
  </si>
  <si>
    <t>2.2250738585072014E-308/2</t>
  </si>
  <si>
    <t>sum-direct-coercion</t>
  </si>
  <si>
    <t>SUM(TRUE,"3")</t>
  </si>
  <si>
    <t>sum-reference-coercion</t>
  </si>
  <si>
    <t>SUM(Inputs!B1:B8)</t>
  </si>
  <si>
    <t>sum-array-coercion</t>
  </si>
  <si>
    <t>SUM({1,TRUE,"3"})</t>
  </si>
  <si>
    <t>arithmetic-text</t>
  </si>
  <si>
    <t>"3"+TRUE</t>
  </si>
  <si>
    <t>arithmetic-bad-text</t>
  </si>
  <si>
    <t>"abc"+1</t>
  </si>
  <si>
    <t>blank-number</t>
  </si>
  <si>
    <t>Inputs!B5+1</t>
  </si>
  <si>
    <t>blank-string</t>
  </si>
  <si>
    <t>Inputs!B5&amp;"x"</t>
  </si>
  <si>
    <t>blank-equals-empty</t>
  </si>
  <si>
    <t>Inputs!B5=""</t>
  </si>
  <si>
    <t>empty-formula-isblank</t>
  </si>
  <si>
    <t>ISBLANK(Inputs!B7)</t>
  </si>
  <si>
    <t>number-text-order</t>
  </si>
  <si>
    <t>1&lt;"0"</t>
  </si>
  <si>
    <t>text-bool-order</t>
  </si>
  <si>
    <t>"z"&lt;FALSE</t>
  </si>
  <si>
    <t>number-bool-order</t>
  </si>
  <si>
    <t>999999&lt;TRUE</t>
  </si>
  <si>
    <t>number-text-unequal</t>
  </si>
  <si>
    <t>1="1"</t>
  </si>
  <si>
    <t>text-insensitive-equality</t>
  </si>
  <si>
    <t>"AbC"="aBc"</t>
  </si>
  <si>
    <t>direct-error-propagation</t>
  </si>
  <si>
    <t>SUM(1,NA())</t>
  </si>
  <si>
    <t>if-unused-error</t>
  </si>
  <si>
    <t>IF(TRUE,7,1/0)</t>
  </si>
  <si>
    <t>iferror-no-error</t>
  </si>
  <si>
    <t>IFERROR(7,1/0)</t>
  </si>
  <si>
    <t>ifna-other-error</t>
  </si>
  <si>
    <t>IFNA(1/0,9)</t>
  </si>
  <si>
    <t>choose-unused-error</t>
  </si>
  <si>
    <t>CHOOSE(2,1/0,7)</t>
  </si>
  <si>
    <t>ifs-unused-error</t>
  </si>
  <si>
    <t>IFS(TRUE,7,TRUE,1/0)</t>
  </si>
  <si>
    <t>switch-default</t>
  </si>
  <si>
    <t>SWITCH(9,1,"one","other")</t>
  </si>
  <si>
    <t>match-descending</t>
  </si>
  <si>
    <t>MATCH(4,Lookup!D1:D4,-1)</t>
  </si>
  <si>
    <t>match-exact</t>
  </si>
  <si>
    <t>MATCH(5,Lookup!A1:A4,0)</t>
  </si>
  <si>
    <t>match-wildcard</t>
  </si>
  <si>
    <t>MATCH("a~*b",Inputs!C1:C8,0)</t>
  </si>
  <si>
    <t>vlookup-exact</t>
  </si>
  <si>
    <t>VLOOKUP(5,Lookup!A1:B4,2,FALSE)</t>
  </si>
  <si>
    <t>lookup-below-bound</t>
  </si>
  <si>
    <t>LOOKUP(0,Lookup!A1:A4,Lookup!B1:B4)</t>
  </si>
  <si>
    <t>xlookup-not-found</t>
  </si>
  <si>
    <t>XLOOKUP(7,Lookup!A1:A4,Lookup!B1:B4,"missing",0)</t>
  </si>
  <si>
    <t>index-reference</t>
  </si>
  <si>
    <t>SUM(INDEX(Matrix!A1:C3,0,2))</t>
  </si>
  <si>
    <t>offset-negative</t>
  </si>
  <si>
    <t>SUM(OFFSET(Matrix!C3,-2,-2,2,2))</t>
  </si>
  <si>
    <t>indirect-built-text</t>
  </si>
  <si>
    <t>INDIRECT("Matrix!"&amp;"B2")</t>
  </si>
  <si>
    <t>sum-whole-column</t>
  </si>
  <si>
    <t>SUM(Inputs!A:A)</t>
  </si>
  <si>
    <t>sum-whole-row</t>
  </si>
  <si>
    <t>SUM(Matrix!1:1)</t>
  </si>
  <si>
    <t>sum-union</t>
  </si>
  <si>
    <t>SUM((Matrix!A1:A2,Matrix!C1:C2))</t>
  </si>
  <si>
    <t>sum-intersection</t>
  </si>
  <si>
    <t>SUM(Matrix!A1:C3 Matrix!B2:B3)</t>
  </si>
  <si>
    <t>sum-three-dimensional</t>
  </si>
  <si>
    <t>SUM(Jan:Mar!A1)</t>
  </si>
  <si>
    <t>name-global-constant</t>
  </si>
  <si>
    <t>GlobalRate*100</t>
  </si>
  <si>
    <t>name-global-range</t>
  </si>
  <si>
    <t>SUM(Numbers)</t>
  </si>
  <si>
    <t>name-qualified-local</t>
  </si>
  <si>
    <t>Scoped!Rate*100</t>
  </si>
  <si>
    <t>sumifs-wildcard-escaped</t>
  </si>
  <si>
    <t>SUMIFS(Inputs!A1:A8,Inputs!C1:C8,"a~*b")</t>
  </si>
  <si>
    <t>countif-question-escaped</t>
  </si>
  <si>
    <t>COUNTIF(Inputs!C1:C8,"A~?b")</t>
  </si>
  <si>
    <t>countif-tilde-escaped</t>
  </si>
  <si>
    <t>COUNTIF(Inputs!C1:C8,"~~")</t>
  </si>
  <si>
    <t>countif-relational</t>
  </si>
  <si>
    <t>COUNTIF(Inputs!A1:A8,"&gt;=8")</t>
  </si>
  <si>
    <t>countif-not-equal</t>
  </si>
  <si>
    <t>COUNTIF(Inputs!D1:D8,"&lt;&gt;red")</t>
  </si>
  <si>
    <t>countif-empty</t>
  </si>
  <si>
    <t>COUNTIF(Inputs!B1:B8,"")</t>
  </si>
  <si>
    <t>sumifs-dimension-error</t>
  </si>
  <si>
    <t>SUMIFS(Inputs!A1:A8,Inputs!C1:C7,"a*")</t>
  </si>
  <si>
    <t>averageif-no-match</t>
  </si>
  <si>
    <t>AVERAGEIF(Inputs!C1:C8,"not-there",Inputs!A1:A8)</t>
  </si>
  <si>
    <t>sumproduct-dimension-error</t>
  </si>
  <si>
    <t>SUMPRODUCT(Inputs!A1:A8,Inputs!E1:E7)</t>
  </si>
  <si>
    <t>stdev-one-sample</t>
  </si>
  <si>
    <t>STDEV.S(7)</t>
  </si>
  <si>
    <t>variance-large-offset</t>
  </si>
  <si>
    <t>VAR.S(Stability!A1:A4)</t>
  </si>
  <si>
    <t>mode-no-mode</t>
  </si>
  <si>
    <t>MODE.SNGL(Matrix!A1:C3)</t>
  </si>
  <si>
    <t>percentile-lower</t>
  </si>
  <si>
    <t>PERCENTILE.INC(Inputs!A1:A8,0)</t>
  </si>
  <si>
    <t>percentile-upper</t>
  </si>
  <si>
    <t>PERCENTILE.INC(Inputs!A1:A8,1)</t>
  </si>
  <si>
    <t>rank-duplicate</t>
  </si>
  <si>
    <t>RANK.EQ(4,Inputs!A1:A8,0)</t>
  </si>
  <si>
    <t>text-number</t>
  </si>
  <si>
    <t>TEXT(0.125,"0.00%")</t>
  </si>
  <si>
    <t>text-currency</t>
  </si>
  <si>
    <t>TEXT(-1234.5,"$#,##0.00;($#,##0.00)")</t>
  </si>
  <si>
    <t>text-date</t>
  </si>
  <si>
    <t>TEXT(DATE(2024,1,31),"yyyy-mm-dd")</t>
  </si>
  <si>
    <t>text-escaped-quote</t>
  </si>
  <si>
    <t>SUBSTITUTE("a""b","""","!")</t>
  </si>
  <si>
    <t>value-percent</t>
  </si>
  <si>
    <t>VALUE("12.5%")</t>
  </si>
  <si>
    <t>value-grouping</t>
  </si>
  <si>
    <t>VALUE("1,234.50")</t>
  </si>
  <si>
    <t>rept-too-long</t>
  </si>
  <si>
    <t>REPT("x",32768)</t>
  </si>
  <si>
    <t>pmt-zero-rate</t>
  </si>
  <si>
    <t>PMT(0,4,100,0,0)</t>
  </si>
  <si>
    <t>pmt-beginning</t>
  </si>
  <si>
    <t>PMT(0.01,12,1000,0,1)</t>
  </si>
  <si>
    <t>pv-zero-rate</t>
  </si>
  <si>
    <t>PV(0,4,-25,0,0)</t>
  </si>
  <si>
    <t>fv-zero-rate</t>
  </si>
  <si>
    <t>FV(0,4,-25,-100,1)</t>
  </si>
  <si>
    <t>npv-zero-rate</t>
  </si>
  <si>
    <t>NPV(0,Flows!A2:A4)+Flows!A1</t>
  </si>
  <si>
    <t>phantom-date-1900</t>
  </si>
  <si>
    <t>DATE(1900,2,29)</t>
  </si>
  <si>
    <t>phantom-day-1900</t>
  </si>
  <si>
    <t>DAY(60)</t>
  </si>
  <si>
    <t>phantom-month-1900</t>
  </si>
  <si>
    <t>MONTH(60)</t>
  </si>
  <si>
    <t>phantom-year-1900</t>
  </si>
  <si>
    <t>YEAR(60)</t>
  </si>
  <si>
    <t>weekday-61-1900</t>
  </si>
  <si>
    <t>weekday-monday-1900</t>
  </si>
  <si>
    <t>WEEKDAY(61,2)</t>
  </si>
  <si>
    <t>date-month-overflow-1900</t>
  </si>
  <si>
    <t>DATE(2024,14,0)</t>
  </si>
  <si>
    <t>date-day-negative-1900</t>
  </si>
  <si>
    <t>DATE(2024,3,-1)</t>
  </si>
  <si>
    <t>date-short-year-1900</t>
  </si>
  <si>
    <t>DATE(24,1,1)</t>
  </si>
  <si>
    <t>date-1904-origin-1900</t>
  </si>
  <si>
    <t>DATE(1904,1,1)</t>
  </si>
  <si>
    <t>edate-leap-back-1900</t>
  </si>
  <si>
    <t>EDATE(DATE(2024,3,31),-1)</t>
  </si>
  <si>
    <t>eomonth-year-back-1900</t>
  </si>
  <si>
    <t>EOMONTH(DATE(2024,1,1),-1)</t>
  </si>
  <si>
    <t>styled-serial-59-1900</t>
  </si>
  <si>
    <t>Inputs!F1+0</t>
  </si>
  <si>
    <t>styled-serial-60-1900</t>
  </si>
  <si>
    <t>Inputs!F2+0</t>
  </si>
  <si>
    <t>styled-serial-61-1900</t>
  </si>
  <si>
    <t>Inputs!F3+0</t>
  </si>
  <si>
    <t>styled-serial-60-day-1900</t>
  </si>
  <si>
    <t>DAY(Inputs!F2)</t>
  </si>
  <si>
    <t>styled-submillisecond-time-1900</t>
  </si>
  <si>
    <t>Inputs!F4+0</t>
  </si>
  <si>
    <t>styled-submillisecond-seconds-1900</t>
  </si>
  <si>
    <t>Inputs!F4*86400</t>
  </si>
  <si>
    <t>styled-submillisecond-datetime-1900</t>
  </si>
  <si>
    <t>Inputs!F5+0</t>
  </si>
  <si>
    <t>time-negative-1900</t>
  </si>
  <si>
    <t>TIME(-1,0,0)</t>
  </si>
  <si>
    <t>time-fraction-1900</t>
  </si>
  <si>
    <t>TIME(1,2,3)</t>
  </si>
  <si>
    <t>subtotal-hidden-nested-1</t>
  </si>
  <si>
    <t>SUBTOTAL(1,Hidden!A1:A8)</t>
  </si>
  <si>
    <t>subtotal-hidden-nested-2</t>
  </si>
  <si>
    <t>SUBTOTAL(2,Hidden!A1:A8)</t>
  </si>
  <si>
    <t>subtotal-hidden-nested-3</t>
  </si>
  <si>
    <t>SUBTOTAL(3,Hidden!A1:A8)</t>
  </si>
  <si>
    <t>subtotal-hidden-nested-4</t>
  </si>
  <si>
    <t>SUBTOTAL(4,Hidden!A1:A8)</t>
  </si>
  <si>
    <t>subtotal-hidden-nested-5</t>
  </si>
  <si>
    <t>SUBTOTAL(5,Hidden!A1:A8)</t>
  </si>
  <si>
    <t>subtotal-hidden-nested-6</t>
  </si>
  <si>
    <t>SUBTOTAL(6,Hidden!A1:A8)</t>
  </si>
  <si>
    <t>subtotal-hidden-nested-7</t>
  </si>
  <si>
    <t>SUBTOTAL(7,Hidden!A1:A8)</t>
  </si>
  <si>
    <t>subtotal-hidden-nested-8</t>
  </si>
  <si>
    <t>SUBTOTAL(8,Hidden!A1:A8)</t>
  </si>
  <si>
    <t>subtotal-hidden-nested-9</t>
  </si>
  <si>
    <t>subtotal-hidden-nested-10</t>
  </si>
  <si>
    <t>SUBTOTAL(10,Hidden!A1:A8)</t>
  </si>
  <si>
    <t>subtotal-hidden-nested-11</t>
  </si>
  <si>
    <t>SUBTOTAL(11,Hidden!A1:A8)</t>
  </si>
  <si>
    <t>subtotal-hidden-nested-101</t>
  </si>
  <si>
    <t>SUBTOTAL(101,Hidden!A1:A8)</t>
  </si>
  <si>
    <t>subtotal-hidden-nested-102</t>
  </si>
  <si>
    <t>SUBTOTAL(102,Hidden!A1:A8)</t>
  </si>
  <si>
    <t>subtotal-hidden-nested-103</t>
  </si>
  <si>
    <t>SUBTOTAL(103,Hidden!A1:A8)</t>
  </si>
  <si>
    <t>subtotal-hidden-nested-104</t>
  </si>
  <si>
    <t>SUBTOTAL(104,Hidden!A1:A8)</t>
  </si>
  <si>
    <t>subtotal-hidden-nested-105</t>
  </si>
  <si>
    <t>SUBTOTAL(105,Hidden!A1:A8)</t>
  </si>
  <si>
    <t>subtotal-hidden-nested-106</t>
  </si>
  <si>
    <t>SUBTOTAL(106,Hidden!A1:A8)</t>
  </si>
  <si>
    <t>subtotal-hidden-nested-107</t>
  </si>
  <si>
    <t>SUBTOTAL(107,Hidden!A1:A8)</t>
  </si>
  <si>
    <t>subtotal-hidden-nested-108</t>
  </si>
  <si>
    <t>SUBTOTAL(108,Hidden!A1:A8)</t>
  </si>
  <si>
    <t>subtotal-hidden-nested-109</t>
  </si>
  <si>
    <t>SUBTOTAL(109,Hidden!A1:A8)</t>
  </si>
  <si>
    <t>subtotal-hidden-nested-110</t>
  </si>
  <si>
    <t>SUBTOTAL(110,Hidden!A1:A8)</t>
  </si>
  <si>
    <t>subtotal-hidden-nested-111</t>
  </si>
  <si>
    <t>SUBTOTAL(111,Hidden!A1:A8)</t>
  </si>
  <si>
    <t>mod--7--3</t>
  </si>
  <si>
    <t>MOD(-7,-3)</t>
  </si>
  <si>
    <t>mod--7-3</t>
  </si>
  <si>
    <t>mod-7--3</t>
  </si>
  <si>
    <t>MOD(7,-3)</t>
  </si>
  <si>
    <t>mod-7-3</t>
  </si>
  <si>
    <t>MOD(7,3)</t>
  </si>
  <si>
    <t>mod-zero</t>
  </si>
  <si>
    <t>MOD(7,0)</t>
  </si>
  <si>
    <t>error-type-1</t>
  </si>
  <si>
    <t>ERROR.TYPE(Errors!A1)</t>
  </si>
  <si>
    <t>error-type-2</t>
  </si>
  <si>
    <t>ERROR.TYPE(Errors!A2)</t>
  </si>
  <si>
    <t>error-type-3</t>
  </si>
  <si>
    <t>ERROR.TYPE(Errors!A3)</t>
  </si>
  <si>
    <t>error-type-4</t>
  </si>
  <si>
    <t>ERROR.TYPE(Errors!A4)</t>
  </si>
  <si>
    <t>error-type-5</t>
  </si>
  <si>
    <t>ERROR.TYPE(Errors!A5)</t>
  </si>
  <si>
    <t>error-type-6</t>
  </si>
  <si>
    <t>ERROR.TYPE(Errors!A6)</t>
  </si>
  <si>
    <t>error-type-7</t>
  </si>
  <si>
    <t>ERROR.TYPE(Errors!A7)</t>
  </si>
  <si>
    <t>error-type-8</t>
  </si>
  <si>
    <t>ERROR.TYPE(Errors!A8)</t>
  </si>
  <si>
    <t>name-workbook</t>
  </si>
  <si>
    <t>Rate*100</t>
  </si>
  <si>
    <t>randbetween-degenerate</t>
  </si>
  <si>
    <t>RANDBETWEEN(7,7)</t>
  </si>
  <si>
    <t>clock-day-fraction</t>
  </si>
  <si>
    <t>NOW()-TODAY()</t>
  </si>
  <si>
    <t>calibrate-text-version</t>
  </si>
  <si>
    <t>calibration</t>
  </si>
  <si>
    <t>LEN("A😀Z")</t>
  </si>
  <si>
    <t>calibrate-formula-text</t>
  </si>
  <si>
    <t>TEXT(DATE(2024,1,1),"dddd, mmmm d, yyyy")</t>
  </si>
  <si>
    <t>utf16-len</t>
  </si>
  <si>
    <t>utf16-mid-pair</t>
  </si>
  <si>
    <t>MID("A😀Z",2,2)</t>
  </si>
  <si>
    <t>utf16-find-after-pair</t>
  </si>
  <si>
    <t>FIND("Z","A😀Z")</t>
  </si>
  <si>
    <t>utf16-search-after-pair</t>
  </si>
  <si>
    <t>SEARCH("z","A😀Z")</t>
  </si>
  <si>
    <t>utf16-replace-pair</t>
  </si>
  <si>
    <t>REPLACE("A😀Z",2,2,"X")</t>
  </si>
  <si>
    <t>name-local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</si>
</sst>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h:mm:ss.000"/>
    <numFmt numFmtId="166" formatCode="yyyy\-mm\-dd\ h:mm:ss.000"/>
    <numFmt numFmtId="167" formatCode="[$-409]0.00"/>
    <numFmt numFmtId="168" formatCode="[$-409]0.00%"/>
    <numFmt numFmtId="169" formatCode="[$-409]yyyy\-mm\-dd"/>
    <numFmt numFmtId="170" formatCode="[$-409]dddd\,\ mmmm\ 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8.88671875" defaultRowHeight="14.4" x14ac:dyDescent="0.3"/>
  <sheetData>
    <row r="1" spans="1:6" x14ac:dyDescent="0.3">
      <c r="A1">
        <v>2</v>
      </c>
      <c r="B1" t="b">
        <v>1</v>
      </c>
      <c r="C1" t="s">
        <v>0</v>
      </c>
      <c r="D1" t="s">
        <v>1</v>
      </c>
      <c r="E1">
        <v>1</v>
      </c>
      <c r="F1" s="1">
        <v>59</v>
      </c>
    </row>
    <row r="2" spans="1:6" x14ac:dyDescent="0.3">
      <c r="A2">
        <v>4</v>
      </c>
      <c r="B2" t="b">
        <v>0</v>
      </c>
      <c r="C2" t="s">
        <v>2</v>
      </c>
      <c r="D2" t="s">
        <v>1</v>
      </c>
      <c r="E2">
        <v>2</v>
      </c>
      <c r="F2" s="1">
        <v>60</v>
      </c>
    </row>
    <row r="3" spans="1:6" x14ac:dyDescent="0.3">
      <c r="A3">
        <v>4</v>
      </c>
      <c r="B3" t="s">
        <v>3</v>
      </c>
      <c r="C3" t="s">
        <v>4</v>
      </c>
      <c r="D3" t="s">
        <v>5</v>
      </c>
      <c r="E3">
        <v>3</v>
      </c>
      <c r="F3" s="1">
        <v>61</v>
      </c>
    </row>
    <row r="4" spans="1:6" x14ac:dyDescent="0.3">
      <c r="A4">
        <v>8</v>
      </c>
      <c r="B4" t="s">
        <v>6</v>
      </c>
      <c r="C4" t="s">
        <v>7</v>
      </c>
      <c r="D4" t="s">
        <v>1</v>
      </c>
      <c r="E4">
        <v>4</v>
      </c>
      <c r="F4" s="2">
        <v>0.123456789012345</v>
      </c>
    </row>
    <row r="5" spans="1:6" x14ac:dyDescent="0.3">
      <c r="A5">
        <v>10</v>
      </c>
      <c r="C5" t="s">
        <v>8</v>
      </c>
      <c r="D5" t="s">
        <v>5</v>
      </c>
      <c r="E5">
        <v>5</v>
      </c>
      <c r="F5" s="3">
        <v>45292.123456788999</v>
      </c>
    </row>
    <row r="6" spans="1:6" x14ac:dyDescent="0.3">
      <c r="A6">
        <v>12</v>
      </c>
      <c r="B6">
        <v>0</v>
      </c>
      <c r="C6" t="s">
        <v>9</v>
      </c>
      <c r="D6" t="s">
        <v>1</v>
      </c>
      <c r="E6">
        <v>6</v>
      </c>
    </row>
    <row r="7" spans="1:6" x14ac:dyDescent="0.3">
      <c r="A7">
        <v>14</v>
      </c>
      <c r="B7" t="str">
        <f>""</f>
        <v/>
      </c>
      <c r="C7" t="s">
        <v>10</v>
      </c>
      <c r="D7" t="s">
        <v>5</v>
      </c>
      <c r="E7">
        <v>7</v>
      </c>
    </row>
    <row r="8" spans="1:6" x14ac:dyDescent="0.3">
      <c r="A8">
        <v>16</v>
      </c>
      <c r="B8">
        <v>5</v>
      </c>
      <c r="D8" t="s">
        <v>1</v>
      </c>
      <c r="E8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>
        <v>1</v>
      </c>
      <c r="B1" t="s">
        <v>11</v>
      </c>
      <c r="D1">
        <v>9</v>
      </c>
    </row>
    <row r="2" spans="1:4" x14ac:dyDescent="0.3">
      <c r="A2">
        <v>3</v>
      </c>
      <c r="B2" t="s">
        <v>12</v>
      </c>
      <c r="D2">
        <v>5</v>
      </c>
    </row>
    <row r="3" spans="1:4" x14ac:dyDescent="0.3">
      <c r="A3">
        <v>5</v>
      </c>
      <c r="B3" t="s">
        <v>13</v>
      </c>
      <c r="D3">
        <v>3</v>
      </c>
    </row>
    <row r="4" spans="1:4" x14ac:dyDescent="0.3">
      <c r="A4">
        <v>9</v>
      </c>
      <c r="B4" t="s">
        <v>14</v>
      </c>
      <c r="D4">
        <v>1</v>
      </c>
    </row>
    <row r="6" spans="1:4" x14ac:dyDescent="0.3">
      <c r="A6">
        <v>1</v>
      </c>
      <c r="B6">
        <v>3</v>
      </c>
      <c r="C6">
        <v>5</v>
      </c>
      <c r="D6">
        <v>9</v>
      </c>
    </row>
    <row r="7" spans="1:4" x14ac:dyDescent="0.3">
      <c r="A7">
        <v>10</v>
      </c>
      <c r="B7">
        <v>30</v>
      </c>
      <c r="C7">
        <v>50</v>
      </c>
      <c r="D7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4</v>
      </c>
      <c r="B2">
        <v>5</v>
      </c>
      <c r="C2">
        <v>6</v>
      </c>
    </row>
    <row r="3" spans="1:3" x14ac:dyDescent="0.3">
      <c r="A3">
        <v>7</v>
      </c>
      <c r="B3">
        <v>8</v>
      </c>
      <c r="C3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>
        <v>1</v>
      </c>
      <c r="B1">
        <v>10</v>
      </c>
    </row>
    <row r="2" spans="1:2" hidden="1" x14ac:dyDescent="0.3">
      <c r="A2">
        <v>2</v>
      </c>
      <c r="B2">
        <v>20</v>
      </c>
    </row>
    <row r="3" spans="1:2" x14ac:dyDescent="0.3">
      <c r="A3">
        <v>3</v>
      </c>
    </row>
    <row r="4" spans="1:2" x14ac:dyDescent="0.3">
      <c r="A4">
        <v>4</v>
      </c>
    </row>
    <row r="5" spans="1:2" hidden="1" x14ac:dyDescent="0.3">
      <c r="A5">
        <v>5</v>
      </c>
    </row>
    <row r="6" spans="1:2" x14ac:dyDescent="0.3">
      <c r="A6">
        <f>SUBTOTAL(9,B1:B2)</f>
        <v>30</v>
      </c>
    </row>
    <row r="7" spans="1:2" x14ac:dyDescent="0.3">
      <c r="A7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>
        <v>-1000</v>
      </c>
    </row>
    <row r="2" spans="1:1" x14ac:dyDescent="0.3">
      <c r="A2">
        <v>300</v>
      </c>
    </row>
    <row r="3" spans="1:1" x14ac:dyDescent="0.3">
      <c r="A3">
        <v>400</v>
      </c>
    </row>
    <row r="4" spans="1:1" x14ac:dyDescent="0.3">
      <c r="A4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/>
  </sheetViews>
  <sheetFormatPr baseColWidth="10" defaultColWidth="8.88671875" defaultRowHeight="14.4" x14ac:dyDescent="0.3"/>
  <sheetData>
    <row r="1" spans="1:1" x14ac:dyDescent="0.3">
      <c r="A1" t="e">
        <v>#NULL!</v>
      </c>
    </row>
    <row r="2" spans="1:1" x14ac:dyDescent="0.3">
      <c r="A2" t="e">
        <v>#DIV/0!</v>
      </c>
    </row>
    <row r="3" spans="1:1" x14ac:dyDescent="0.3">
      <c r="A3" t="e">
        <v>#VALUE!</v>
      </c>
    </row>
    <row r="4" spans="1:1" x14ac:dyDescent="0.3">
      <c r="A4" t="e">
        <v>#REF!</v>
      </c>
    </row>
    <row r="5" spans="1:1" x14ac:dyDescent="0.3">
      <c r="A5" t="e">
        <v>#NAME?</v>
      </c>
    </row>
    <row r="6" spans="1:1" x14ac:dyDescent="0.3">
      <c r="A6" t="e">
        <v>#NUM!</v>
      </c>
    </row>
    <row r="7" spans="1:1" x14ac:dyDescent="0.3">
      <c r="A7" t="e">
        <v>#N/A</v>
      </c>
    </row>
    <row r="8" spans="1:1" x14ac:dyDescent="0.3">
      <c r="A8" t="e">
        <v>#N/A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>
        <v>100000000001</v>
      </c>
    </row>
    <row r="2" spans="1:1" x14ac:dyDescent="0.3">
      <c r="A2">
        <v>100000000002</v>
      </c>
    </row>
    <row r="3" spans="1:1" x14ac:dyDescent="0.3">
      <c r="A3">
        <v>100000000003</v>
      </c>
    </row>
    <row r="4" spans="1:1" x14ac:dyDescent="0.3">
      <c r="A4">
        <v>100000000004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D303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f>ABS(-7.25)</f>
        <v>7.25</v>
      </c>
      <c r="C2" t="s">
        <v>21</v>
      </c>
      <c r="D2" t="s">
        <v>22</v>
      </c>
    </row>
    <row r="3" spans="1:4" x14ac:dyDescent="0.3">
      <c r="A3" t="s">
        <v>23</v>
      </c>
      <c r="B3">
        <f>ACOS(0.25)</f>
        <v>1.318116071652818</v>
      </c>
      <c r="C3" t="s">
        <v>21</v>
      </c>
      <c r="D3" t="s">
        <v>24</v>
      </c>
    </row>
    <row r="4" spans="1:4" x14ac:dyDescent="0.3">
      <c r="A4" t="s">
        <v>25</v>
      </c>
      <c r="B4">
        <f>ASIN(-0.25)</f>
        <v>-0.25268025514207865</v>
      </c>
      <c r="C4" t="s">
        <v>21</v>
      </c>
      <c r="D4" t="s">
        <v>26</v>
      </c>
    </row>
    <row r="5" spans="1:4" x14ac:dyDescent="0.3">
      <c r="A5" t="s">
        <v>27</v>
      </c>
      <c r="B5">
        <f>ATAN(2)</f>
        <v>1.1071487177940904</v>
      </c>
      <c r="C5" t="s">
        <v>21</v>
      </c>
      <c r="D5" t="s">
        <v>28</v>
      </c>
    </row>
    <row r="6" spans="1:4" x14ac:dyDescent="0.3">
      <c r="A6" t="s">
        <v>29</v>
      </c>
      <c r="B6">
        <f>ATAN2(-3,4)</f>
        <v>2.2142974355881808</v>
      </c>
      <c r="C6" t="s">
        <v>21</v>
      </c>
      <c r="D6" t="s">
        <v>30</v>
      </c>
    </row>
    <row r="7" spans="1:4" x14ac:dyDescent="0.3">
      <c r="A7" t="s">
        <v>31</v>
      </c>
      <c r="B7">
        <f>CEILING(4.3,0.5)</f>
        <v>4.5</v>
      </c>
      <c r="C7" t="s">
        <v>21</v>
      </c>
      <c r="D7" t="s">
        <v>32</v>
      </c>
    </row>
    <row r="8" spans="1:4" x14ac:dyDescent="0.3">
      <c r="A8" t="s">
        <v>33</v>
      </c>
      <c r="B8">
        <f>_xlfn.CEILING.MATH(-4.3,2,1)</f>
        <v>-6</v>
      </c>
      <c r="C8" t="s">
        <v>21</v>
      </c>
      <c r="D8" t="s">
        <v>34</v>
      </c>
    </row>
    <row r="9" spans="1:4" x14ac:dyDescent="0.3">
      <c r="A9" t="s">
        <v>35</v>
      </c>
      <c r="B9">
        <f>COS(0.75)</f>
        <v>0.7316888688738209</v>
      </c>
      <c r="C9" t="s">
        <v>21</v>
      </c>
      <c r="D9" t="s">
        <v>36</v>
      </c>
    </row>
    <row r="10" spans="1:4" x14ac:dyDescent="0.3">
      <c r="A10" t="s">
        <v>37</v>
      </c>
      <c r="B10">
        <f>DEGREES(1.25)</f>
        <v>71.619724391352904</v>
      </c>
      <c r="C10" t="s">
        <v>21</v>
      </c>
      <c r="D10" t="s">
        <v>38</v>
      </c>
    </row>
    <row r="11" spans="1:4" x14ac:dyDescent="0.3">
      <c r="A11" t="s">
        <v>39</v>
      </c>
      <c r="B11">
        <f>EVEN(-3.2)</f>
        <v>-4</v>
      </c>
      <c r="C11" t="s">
        <v>21</v>
      </c>
      <c r="D11" t="s">
        <v>40</v>
      </c>
    </row>
    <row r="12" spans="1:4" x14ac:dyDescent="0.3">
      <c r="A12" t="s">
        <v>41</v>
      </c>
      <c r="B12">
        <f>EXP(1.5)</f>
        <v>4.4816890703380645</v>
      </c>
      <c r="C12" t="s">
        <v>21</v>
      </c>
      <c r="D12" t="s">
        <v>42</v>
      </c>
    </row>
    <row r="13" spans="1:4" x14ac:dyDescent="0.3">
      <c r="A13" t="s">
        <v>43</v>
      </c>
      <c r="B13">
        <f>FACT(7)</f>
        <v>5040</v>
      </c>
      <c r="C13" t="s">
        <v>21</v>
      </c>
      <c r="D13" t="s">
        <v>44</v>
      </c>
    </row>
    <row r="14" spans="1:4" x14ac:dyDescent="0.3">
      <c r="A14" t="s">
        <v>45</v>
      </c>
      <c r="B14">
        <f>FLOOR(4.7,0.5)</f>
        <v>4.5</v>
      </c>
      <c r="C14" t="s">
        <v>21</v>
      </c>
      <c r="D14" t="s">
        <v>46</v>
      </c>
    </row>
    <row r="15" spans="1:4" x14ac:dyDescent="0.3">
      <c r="A15" t="s">
        <v>47</v>
      </c>
      <c r="B15">
        <f>_xlfn.FLOOR.MATH(-4.3,2,1)</f>
        <v>-4</v>
      </c>
      <c r="C15" t="s">
        <v>21</v>
      </c>
      <c r="D15" t="s">
        <v>48</v>
      </c>
    </row>
    <row r="16" spans="1:4" x14ac:dyDescent="0.3">
      <c r="A16" t="s">
        <v>49</v>
      </c>
      <c r="B16">
        <f>GCD(24,36,54)</f>
        <v>6</v>
      </c>
      <c r="C16" t="s">
        <v>21</v>
      </c>
      <c r="D16" t="s">
        <v>50</v>
      </c>
    </row>
    <row r="17" spans="1:4" x14ac:dyDescent="0.3">
      <c r="A17" t="s">
        <v>51</v>
      </c>
      <c r="B17">
        <f>INT(-3.2)</f>
        <v>-4</v>
      </c>
      <c r="C17" t="s">
        <v>21</v>
      </c>
      <c r="D17" t="s">
        <v>52</v>
      </c>
    </row>
    <row r="18" spans="1:4" x14ac:dyDescent="0.3">
      <c r="A18" t="s">
        <v>53</v>
      </c>
      <c r="B18">
        <f>LCM(6,8,9)</f>
        <v>72</v>
      </c>
      <c r="C18" t="s">
        <v>21</v>
      </c>
      <c r="D18" t="s">
        <v>54</v>
      </c>
    </row>
    <row r="19" spans="1:4" x14ac:dyDescent="0.3">
      <c r="A19" t="s">
        <v>55</v>
      </c>
      <c r="B19">
        <f>LN(2.5)</f>
        <v>0.91629073187415511</v>
      </c>
      <c r="C19" t="s">
        <v>21</v>
      </c>
      <c r="D19" t="s">
        <v>56</v>
      </c>
    </row>
    <row r="20" spans="1:4" x14ac:dyDescent="0.3">
      <c r="A20" t="s">
        <v>57</v>
      </c>
      <c r="B20">
        <f>LOG(125,5)</f>
        <v>3.0000000000000004</v>
      </c>
      <c r="C20" t="s">
        <v>21</v>
      </c>
      <c r="D20" t="s">
        <v>58</v>
      </c>
    </row>
    <row r="21" spans="1:4" x14ac:dyDescent="0.3">
      <c r="A21" t="s">
        <v>59</v>
      </c>
      <c r="B21">
        <f>LOG10(1000)</f>
        <v>3</v>
      </c>
      <c r="C21" t="s">
        <v>21</v>
      </c>
      <c r="D21" t="s">
        <v>60</v>
      </c>
    </row>
    <row r="22" spans="1:4" x14ac:dyDescent="0.3">
      <c r="A22" t="s">
        <v>61</v>
      </c>
      <c r="B22">
        <f>MOD(-7,3)</f>
        <v>2</v>
      </c>
      <c r="C22" t="s">
        <v>21</v>
      </c>
      <c r="D22" t="s">
        <v>62</v>
      </c>
    </row>
    <row r="23" spans="1:4" x14ac:dyDescent="0.3">
      <c r="A23" t="s">
        <v>63</v>
      </c>
      <c r="B23">
        <f>MROUND(10,3)</f>
        <v>9</v>
      </c>
      <c r="C23" t="s">
        <v>21</v>
      </c>
      <c r="D23" t="s">
        <v>64</v>
      </c>
    </row>
    <row r="24" spans="1:4" x14ac:dyDescent="0.3">
      <c r="A24" t="s">
        <v>65</v>
      </c>
      <c r="B24">
        <f>ODD(-2.1)</f>
        <v>-3</v>
      </c>
      <c r="C24" t="s">
        <v>21</v>
      </c>
      <c r="D24" t="s">
        <v>66</v>
      </c>
    </row>
    <row r="25" spans="1:4" x14ac:dyDescent="0.3">
      <c r="A25" t="s">
        <v>67</v>
      </c>
      <c r="B25">
        <f>PI()</f>
        <v>3.1415926535897931</v>
      </c>
      <c r="C25" t="s">
        <v>21</v>
      </c>
      <c r="D25" t="s">
        <v>68</v>
      </c>
    </row>
    <row r="26" spans="1:4" x14ac:dyDescent="0.3">
      <c r="A26" t="s">
        <v>69</v>
      </c>
      <c r="B26">
        <f>POWER(2.5,3)</f>
        <v>15.625</v>
      </c>
      <c r="C26" t="s">
        <v>21</v>
      </c>
      <c r="D26" t="s">
        <v>70</v>
      </c>
    </row>
    <row r="27" spans="1:4" x14ac:dyDescent="0.3">
      <c r="A27" t="s">
        <v>71</v>
      </c>
      <c r="B27">
        <f>PRODUCT(Inputs!A1:A4)</f>
        <v>256</v>
      </c>
      <c r="C27" t="s">
        <v>21</v>
      </c>
      <c r="D27" t="s">
        <v>72</v>
      </c>
    </row>
    <row r="28" spans="1:4" x14ac:dyDescent="0.3">
      <c r="A28" t="s">
        <v>73</v>
      </c>
      <c r="B28">
        <f>QUOTIENT(-7,3)</f>
        <v>-2</v>
      </c>
      <c r="C28" t="s">
        <v>21</v>
      </c>
      <c r="D28" t="s">
        <v>74</v>
      </c>
    </row>
    <row r="29" spans="1:4" x14ac:dyDescent="0.3">
      <c r="A29" t="s">
        <v>75</v>
      </c>
      <c r="B29">
        <f>RADIANS(135)</f>
        <v>2.3561944901923448</v>
      </c>
      <c r="C29" t="s">
        <v>21</v>
      </c>
      <c r="D29" t="s">
        <v>76</v>
      </c>
    </row>
    <row r="30" spans="1:4" x14ac:dyDescent="0.3">
      <c r="A30" t="s">
        <v>77</v>
      </c>
      <c r="B30">
        <f ca="1">RAND()</f>
        <v>0.5425876177886928</v>
      </c>
      <c r="C30" t="s">
        <v>78</v>
      </c>
      <c r="D30" t="s">
        <v>79</v>
      </c>
    </row>
    <row r="31" spans="1:4" x14ac:dyDescent="0.3">
      <c r="A31" t="s">
        <v>80</v>
      </c>
      <c r="B31">
        <f ca="1">RANDBETWEEN(-5,7)</f>
        <v>7</v>
      </c>
      <c r="C31" t="s">
        <v>78</v>
      </c>
      <c r="D31" t="s">
        <v>81</v>
      </c>
    </row>
    <row r="32" spans="1:4" x14ac:dyDescent="0.3">
      <c r="A32" t="s">
        <v>82</v>
      </c>
      <c r="B32">
        <f>ROUND(2.675,2)</f>
        <v>2.68</v>
      </c>
      <c r="C32" t="s">
        <v>21</v>
      </c>
      <c r="D32" t="s">
        <v>83</v>
      </c>
    </row>
    <row r="33" spans="1:4" x14ac:dyDescent="0.3">
      <c r="A33" t="s">
        <v>84</v>
      </c>
      <c r="B33">
        <f>ROUNDDOWN(-3.14159,3)</f>
        <v>-3.141</v>
      </c>
      <c r="C33" t="s">
        <v>21</v>
      </c>
      <c r="D33" t="s">
        <v>85</v>
      </c>
    </row>
    <row r="34" spans="1:4" x14ac:dyDescent="0.3">
      <c r="A34" t="s">
        <v>86</v>
      </c>
      <c r="B34">
        <f>ROUNDUP(-3.14159,3)</f>
        <v>-3.1419999999999999</v>
      </c>
      <c r="C34" t="s">
        <v>21</v>
      </c>
      <c r="D34" t="s">
        <v>87</v>
      </c>
    </row>
    <row r="35" spans="1:4" x14ac:dyDescent="0.3">
      <c r="A35" t="s">
        <v>88</v>
      </c>
      <c r="B35">
        <f>SIGN(-0.001)</f>
        <v>-1</v>
      </c>
      <c r="C35" t="s">
        <v>21</v>
      </c>
      <c r="D35" t="s">
        <v>89</v>
      </c>
    </row>
    <row r="36" spans="1:4" x14ac:dyDescent="0.3">
      <c r="A36" t="s">
        <v>90</v>
      </c>
      <c r="B36">
        <f>SIN(0.75)</f>
        <v>0.68163876002333412</v>
      </c>
      <c r="C36" t="s">
        <v>21</v>
      </c>
      <c r="D36" t="s">
        <v>91</v>
      </c>
    </row>
    <row r="37" spans="1:4" x14ac:dyDescent="0.3">
      <c r="A37" t="s">
        <v>92</v>
      </c>
      <c r="B37">
        <f>SQRT(2)</f>
        <v>1.4142135623730951</v>
      </c>
      <c r="C37" t="s">
        <v>21</v>
      </c>
      <c r="D37" t="s">
        <v>93</v>
      </c>
    </row>
    <row r="38" spans="1:4" x14ac:dyDescent="0.3">
      <c r="A38" t="s">
        <v>94</v>
      </c>
      <c r="B38">
        <f>SUBTOTAL(9,Hidden!A1:A8)</f>
        <v>15</v>
      </c>
      <c r="C38" t="s">
        <v>21</v>
      </c>
      <c r="D38" t="s">
        <v>95</v>
      </c>
    </row>
    <row r="39" spans="1:4" x14ac:dyDescent="0.3">
      <c r="A39" t="s">
        <v>96</v>
      </c>
      <c r="B39">
        <f>SUM(Inputs!A1:A8)</f>
        <v>70</v>
      </c>
      <c r="C39" t="s">
        <v>21</v>
      </c>
      <c r="D39" t="s">
        <v>97</v>
      </c>
    </row>
    <row r="40" spans="1:4" x14ac:dyDescent="0.3">
      <c r="A40" t="s">
        <v>98</v>
      </c>
      <c r="B40">
        <f>SUMIF(Inputs!C1:C8,"a*",Inputs!A1:A8)</f>
        <v>30</v>
      </c>
      <c r="C40" t="s">
        <v>21</v>
      </c>
      <c r="D40" t="s">
        <v>99</v>
      </c>
    </row>
    <row r="41" spans="1:4" x14ac:dyDescent="0.3">
      <c r="A41" t="s">
        <v>100</v>
      </c>
      <c r="B41">
        <f>SUMIFS(Inputs!A1:A8,Inputs!C1:C8,"a*",Inputs!D1:D8,"red")</f>
        <v>26</v>
      </c>
      <c r="C41" t="s">
        <v>21</v>
      </c>
      <c r="D41" t="s">
        <v>101</v>
      </c>
    </row>
    <row r="42" spans="1:4" x14ac:dyDescent="0.3">
      <c r="A42" t="s">
        <v>102</v>
      </c>
      <c r="B42">
        <f>SUMPRODUCT(Inputs!A1:A8,Inputs!E1:E8)</f>
        <v>402</v>
      </c>
      <c r="C42" t="s">
        <v>21</v>
      </c>
      <c r="D42" t="s">
        <v>103</v>
      </c>
    </row>
    <row r="43" spans="1:4" x14ac:dyDescent="0.3">
      <c r="A43" t="s">
        <v>104</v>
      </c>
      <c r="B43">
        <f>TAN(0.75)</f>
        <v>0.93159645994407247</v>
      </c>
      <c r="C43" t="s">
        <v>21</v>
      </c>
      <c r="D43" t="s">
        <v>105</v>
      </c>
    </row>
    <row r="44" spans="1:4" x14ac:dyDescent="0.3">
      <c r="A44" t="s">
        <v>106</v>
      </c>
      <c r="B44">
        <f>TRUNC(-3.14159,3)</f>
        <v>-3.141</v>
      </c>
      <c r="C44" t="s">
        <v>21</v>
      </c>
      <c r="D44" t="s">
        <v>107</v>
      </c>
    </row>
    <row r="45" spans="1:4" x14ac:dyDescent="0.3">
      <c r="A45" t="s">
        <v>108</v>
      </c>
      <c r="B45">
        <f>AVERAGE(Inputs!A1:A8)</f>
        <v>8.75</v>
      </c>
      <c r="C45" t="s">
        <v>21</v>
      </c>
      <c r="D45" t="s">
        <v>109</v>
      </c>
    </row>
    <row r="46" spans="1:4" x14ac:dyDescent="0.3">
      <c r="A46" t="s">
        <v>110</v>
      </c>
      <c r="B46">
        <f>AVERAGEA(Inputs!B1:B8)</f>
        <v>0.8571428571428571</v>
      </c>
      <c r="C46" t="s">
        <v>21</v>
      </c>
      <c r="D46" t="s">
        <v>111</v>
      </c>
    </row>
    <row r="47" spans="1:4" x14ac:dyDescent="0.3">
      <c r="A47" t="s">
        <v>112</v>
      </c>
      <c r="B47">
        <f>AVERAGEIF(Inputs!C1:C8,"a*",Inputs!A1:A8)</f>
        <v>6</v>
      </c>
      <c r="C47" t="s">
        <v>21</v>
      </c>
      <c r="D47" t="s">
        <v>113</v>
      </c>
    </row>
    <row r="48" spans="1:4" x14ac:dyDescent="0.3">
      <c r="A48" t="s">
        <v>114</v>
      </c>
      <c r="B48">
        <f>AVERAGEIFS(Inputs!A1:A8,Inputs!C1:C8,"a*",Inputs!D1:D8,"red")</f>
        <v>6.5</v>
      </c>
      <c r="C48" t="s">
        <v>21</v>
      </c>
      <c r="D48" t="s">
        <v>115</v>
      </c>
    </row>
    <row r="49" spans="1:4" x14ac:dyDescent="0.3">
      <c r="A49" t="s">
        <v>116</v>
      </c>
      <c r="B49">
        <f>COUNT(Inputs!B1:B8)</f>
        <v>2</v>
      </c>
      <c r="C49" t="s">
        <v>21</v>
      </c>
      <c r="D49" t="s">
        <v>117</v>
      </c>
    </row>
    <row r="50" spans="1:4" x14ac:dyDescent="0.3">
      <c r="A50" t="s">
        <v>118</v>
      </c>
      <c r="B50">
        <f>COUNTA(Inputs!B1:B8)</f>
        <v>7</v>
      </c>
      <c r="C50" t="s">
        <v>21</v>
      </c>
      <c r="D50" t="s">
        <v>119</v>
      </c>
    </row>
    <row r="51" spans="1:4" x14ac:dyDescent="0.3">
      <c r="A51" t="s">
        <v>120</v>
      </c>
      <c r="B51">
        <f>COUNTBLANK(Inputs!B1:B8)</f>
        <v>2</v>
      </c>
      <c r="C51" t="s">
        <v>21</v>
      </c>
      <c r="D51" t="s">
        <v>121</v>
      </c>
    </row>
    <row r="52" spans="1:4" x14ac:dyDescent="0.3">
      <c r="A52" t="s">
        <v>122</v>
      </c>
      <c r="B52">
        <f>COUNTIF(Inputs!C1:C8,"a*")</f>
        <v>5</v>
      </c>
      <c r="C52" t="s">
        <v>21</v>
      </c>
      <c r="D52" t="s">
        <v>123</v>
      </c>
    </row>
    <row r="53" spans="1:4" x14ac:dyDescent="0.3">
      <c r="A53" t="s">
        <v>124</v>
      </c>
      <c r="B53">
        <f>COUNTIFS(Inputs!C1:C8,"a*",Inputs!D1:D8,"red")</f>
        <v>4</v>
      </c>
      <c r="C53" t="s">
        <v>21</v>
      </c>
      <c r="D53" t="s">
        <v>125</v>
      </c>
    </row>
    <row r="54" spans="1:4" x14ac:dyDescent="0.3">
      <c r="A54" t="s">
        <v>126</v>
      </c>
      <c r="B54">
        <f>LARGE(Inputs!A1:A8,3)</f>
        <v>12</v>
      </c>
      <c r="C54" t="s">
        <v>21</v>
      </c>
      <c r="D54" t="s">
        <v>127</v>
      </c>
    </row>
    <row r="55" spans="1:4" x14ac:dyDescent="0.3">
      <c r="A55" t="s">
        <v>128</v>
      </c>
      <c r="B55">
        <f>MAX(Inputs!A1:A8)</f>
        <v>16</v>
      </c>
      <c r="C55" t="s">
        <v>21</v>
      </c>
      <c r="D55" t="s">
        <v>129</v>
      </c>
    </row>
    <row r="56" spans="1:4" x14ac:dyDescent="0.3">
      <c r="A56" t="s">
        <v>130</v>
      </c>
      <c r="B56">
        <f>MAXA(Inputs!B1:B8)</f>
        <v>5</v>
      </c>
      <c r="C56" t="s">
        <v>21</v>
      </c>
      <c r="D56" t="s">
        <v>131</v>
      </c>
    </row>
    <row r="57" spans="1:4" x14ac:dyDescent="0.3">
      <c r="A57" t="s">
        <v>132</v>
      </c>
      <c r="B57">
        <f>_xlfn.MAXIFS(Inputs!A1:A8,Inputs!D1:D8,"red")</f>
        <v>16</v>
      </c>
      <c r="C57" t="s">
        <v>21</v>
      </c>
      <c r="D57" t="s">
        <v>133</v>
      </c>
    </row>
    <row r="58" spans="1:4" x14ac:dyDescent="0.3">
      <c r="A58" t="s">
        <v>134</v>
      </c>
      <c r="B58">
        <f>MEDIAN(Inputs!A1:A8)</f>
        <v>9</v>
      </c>
      <c r="C58" t="s">
        <v>21</v>
      </c>
      <c r="D58" t="s">
        <v>135</v>
      </c>
    </row>
    <row r="59" spans="1:4" x14ac:dyDescent="0.3">
      <c r="A59" t="s">
        <v>136</v>
      </c>
      <c r="B59">
        <f>MIN(Inputs!A1:A8)</f>
        <v>2</v>
      </c>
      <c r="C59" t="s">
        <v>21</v>
      </c>
      <c r="D59" t="s">
        <v>137</v>
      </c>
    </row>
    <row r="60" spans="1:4" x14ac:dyDescent="0.3">
      <c r="A60" t="s">
        <v>138</v>
      </c>
      <c r="B60">
        <f>MINA(Inputs!B1:B8)</f>
        <v>0</v>
      </c>
      <c r="C60" t="s">
        <v>21</v>
      </c>
      <c r="D60" t="s">
        <v>139</v>
      </c>
    </row>
    <row r="61" spans="1:4" x14ac:dyDescent="0.3">
      <c r="A61" t="s">
        <v>140</v>
      </c>
      <c r="B61">
        <f>_xlfn.MINIFS(Inputs!A1:A8,Inputs!D1:D8,"blue")</f>
        <v>4</v>
      </c>
      <c r="C61" t="s">
        <v>21</v>
      </c>
      <c r="D61" t="s">
        <v>141</v>
      </c>
    </row>
    <row r="62" spans="1:4" x14ac:dyDescent="0.3">
      <c r="A62" t="s">
        <v>142</v>
      </c>
      <c r="B62">
        <f>MODE(Inputs!A1:A8)</f>
        <v>4</v>
      </c>
      <c r="C62" t="s">
        <v>21</v>
      </c>
      <c r="D62" t="s">
        <v>143</v>
      </c>
    </row>
    <row r="63" spans="1:4" x14ac:dyDescent="0.3">
      <c r="A63" t="s">
        <v>144</v>
      </c>
      <c r="B63">
        <f>_xlfn.MODE.SNGL(Inputs!A1:A8)</f>
        <v>4</v>
      </c>
      <c r="C63" t="s">
        <v>21</v>
      </c>
      <c r="D63" t="s">
        <v>145</v>
      </c>
    </row>
    <row r="64" spans="1:4" x14ac:dyDescent="0.3">
      <c r="A64" t="s">
        <v>146</v>
      </c>
      <c r="B64">
        <f>PERCENTILE(Inputs!A1:A8,0.3)</f>
        <v>4.4000000000000004</v>
      </c>
      <c r="C64" t="s">
        <v>21</v>
      </c>
      <c r="D64" t="s">
        <v>147</v>
      </c>
    </row>
    <row r="65" spans="1:4" x14ac:dyDescent="0.3">
      <c r="A65" t="s">
        <v>148</v>
      </c>
      <c r="B65">
        <f>_xlfn.PERCENTILE.INC(Inputs!A1:A8,0.3)</f>
        <v>4.4000000000000004</v>
      </c>
      <c r="C65" t="s">
        <v>21</v>
      </c>
      <c r="D65" t="s">
        <v>149</v>
      </c>
    </row>
    <row r="66" spans="1:4" x14ac:dyDescent="0.3">
      <c r="A66" t="s">
        <v>150</v>
      </c>
      <c r="B66">
        <f>QUARTILE(Inputs!A1:A8,1)</f>
        <v>4</v>
      </c>
      <c r="C66" t="s">
        <v>21</v>
      </c>
      <c r="D66" t="s">
        <v>151</v>
      </c>
    </row>
    <row r="67" spans="1:4" x14ac:dyDescent="0.3">
      <c r="A67" t="s">
        <v>152</v>
      </c>
      <c r="B67">
        <f>_xlfn.QUARTILE.INC(Inputs!A1:A8,3)</f>
        <v>12.5</v>
      </c>
      <c r="C67" t="s">
        <v>21</v>
      </c>
      <c r="D67" t="s">
        <v>153</v>
      </c>
    </row>
    <row r="68" spans="1:4" x14ac:dyDescent="0.3">
      <c r="A68" t="s">
        <v>154</v>
      </c>
      <c r="B68">
        <f>RANK(8,Inputs!A1:A8,0)</f>
        <v>5</v>
      </c>
      <c r="C68" t="s">
        <v>21</v>
      </c>
      <c r="D68" t="s">
        <v>155</v>
      </c>
    </row>
    <row r="69" spans="1:4" x14ac:dyDescent="0.3">
      <c r="A69" t="s">
        <v>156</v>
      </c>
      <c r="B69">
        <f>_xlfn.RANK.EQ(4,Inputs!A1:A8,1)</f>
        <v>2</v>
      </c>
      <c r="C69" t="s">
        <v>21</v>
      </c>
      <c r="D69" t="s">
        <v>157</v>
      </c>
    </row>
    <row r="70" spans="1:4" x14ac:dyDescent="0.3">
      <c r="A70" t="s">
        <v>158</v>
      </c>
      <c r="B70">
        <f>SMALL(Inputs!A1:A8,3)</f>
        <v>4</v>
      </c>
      <c r="C70" t="s">
        <v>21</v>
      </c>
      <c r="D70" t="s">
        <v>159</v>
      </c>
    </row>
    <row r="71" spans="1:4" x14ac:dyDescent="0.3">
      <c r="A71" t="s">
        <v>160</v>
      </c>
      <c r="B71">
        <f>STDEV(Inputs!A1:A8)</f>
        <v>5.1199888392735504</v>
      </c>
      <c r="C71" t="s">
        <v>21</v>
      </c>
      <c r="D71" t="s">
        <v>161</v>
      </c>
    </row>
    <row r="72" spans="1:4" x14ac:dyDescent="0.3">
      <c r="A72" t="s">
        <v>162</v>
      </c>
      <c r="B72">
        <f>_xlfn.STDEV.P(Inputs!A1:A8)</f>
        <v>4.7893110151670042</v>
      </c>
      <c r="C72" t="s">
        <v>21</v>
      </c>
      <c r="D72" t="s">
        <v>163</v>
      </c>
    </row>
    <row r="73" spans="1:4" x14ac:dyDescent="0.3">
      <c r="A73" t="s">
        <v>164</v>
      </c>
      <c r="B73">
        <f>_xlfn.STDEV.S(Inputs!A1:A8)</f>
        <v>5.1199888392735504</v>
      </c>
      <c r="C73" t="s">
        <v>21</v>
      </c>
      <c r="D73" t="s">
        <v>165</v>
      </c>
    </row>
    <row r="74" spans="1:4" x14ac:dyDescent="0.3">
      <c r="A74" t="s">
        <v>166</v>
      </c>
      <c r="B74">
        <f>STDEVP(Inputs!A1:A8)</f>
        <v>4.7893110151670042</v>
      </c>
      <c r="C74" t="s">
        <v>21</v>
      </c>
      <c r="D74" t="s">
        <v>167</v>
      </c>
    </row>
    <row r="75" spans="1:4" x14ac:dyDescent="0.3">
      <c r="A75" t="s">
        <v>168</v>
      </c>
      <c r="B75">
        <f>VAR(Inputs!A1:A8)</f>
        <v>26.214285714285715</v>
      </c>
      <c r="C75" t="s">
        <v>21</v>
      </c>
      <c r="D75" t="s">
        <v>169</v>
      </c>
    </row>
    <row r="76" spans="1:4" x14ac:dyDescent="0.3">
      <c r="A76" t="s">
        <v>170</v>
      </c>
      <c r="B76">
        <f>_xlfn.VAR.P(Inputs!A1:A8)</f>
        <v>22.9375</v>
      </c>
      <c r="C76" t="s">
        <v>21</v>
      </c>
      <c r="D76" t="s">
        <v>171</v>
      </c>
    </row>
    <row r="77" spans="1:4" x14ac:dyDescent="0.3">
      <c r="A77" t="s">
        <v>172</v>
      </c>
      <c r="B77">
        <f>_xlfn.VAR.S(Inputs!A1:A8)</f>
        <v>26.214285714285715</v>
      </c>
      <c r="C77" t="s">
        <v>21</v>
      </c>
      <c r="D77" t="s">
        <v>173</v>
      </c>
    </row>
    <row r="78" spans="1:4" x14ac:dyDescent="0.3">
      <c r="A78" t="s">
        <v>174</v>
      </c>
      <c r="B78">
        <f>VARP(Inputs!A1:A8)</f>
        <v>22.9375</v>
      </c>
      <c r="C78" t="s">
        <v>21</v>
      </c>
      <c r="D78" t="s">
        <v>175</v>
      </c>
    </row>
    <row r="79" spans="1:4" x14ac:dyDescent="0.3">
      <c r="A79" t="s">
        <v>176</v>
      </c>
      <c r="B79" t="b">
        <f>AND(TRUE,2,Inputs!A1&gt;0)</f>
        <v>1</v>
      </c>
      <c r="C79" t="s">
        <v>21</v>
      </c>
      <c r="D79" t="s">
        <v>177</v>
      </c>
    </row>
    <row r="80" spans="1:4" x14ac:dyDescent="0.3">
      <c r="A80" t="s">
        <v>178</v>
      </c>
      <c r="B80" t="b">
        <f>FALSE()</f>
        <v>0</v>
      </c>
      <c r="C80" t="s">
        <v>21</v>
      </c>
      <c r="D80" t="s">
        <v>179</v>
      </c>
    </row>
    <row r="81" spans="1:4" x14ac:dyDescent="0.3">
      <c r="A81" t="s">
        <v>180</v>
      </c>
      <c r="B81">
        <f>IF(Inputs!A1&gt;0,11,1/0)</f>
        <v>11</v>
      </c>
      <c r="C81" t="s">
        <v>21</v>
      </c>
      <c r="D81" t="s">
        <v>181</v>
      </c>
    </row>
    <row r="82" spans="1:4" x14ac:dyDescent="0.3">
      <c r="A82" t="s">
        <v>182</v>
      </c>
      <c r="B82">
        <f>IFERROR(1/0,17)</f>
        <v>17</v>
      </c>
      <c r="C82" t="s">
        <v>21</v>
      </c>
      <c r="D82" t="s">
        <v>183</v>
      </c>
    </row>
    <row r="83" spans="1:4" x14ac:dyDescent="0.3">
      <c r="A83" t="s">
        <v>184</v>
      </c>
      <c r="B83">
        <f>_xlfn.IFNA(NA(),19)</f>
        <v>19</v>
      </c>
      <c r="C83" t="s">
        <v>21</v>
      </c>
      <c r="D83" t="s">
        <v>185</v>
      </c>
    </row>
    <row r="84" spans="1:4" x14ac:dyDescent="0.3">
      <c r="A84" t="s">
        <v>186</v>
      </c>
      <c r="B84">
        <f>_xlfn.IFS(FALSE,1,Inputs!A1=2,2,TRUE,3)</f>
        <v>2</v>
      </c>
      <c r="C84" t="s">
        <v>21</v>
      </c>
      <c r="D84" t="s">
        <v>187</v>
      </c>
    </row>
    <row r="85" spans="1:4" x14ac:dyDescent="0.3">
      <c r="A85" t="s">
        <v>188</v>
      </c>
      <c r="B85" t="b">
        <f>NOT(0)</f>
        <v>1</v>
      </c>
      <c r="C85" t="s">
        <v>21</v>
      </c>
      <c r="D85" t="s">
        <v>189</v>
      </c>
    </row>
    <row r="86" spans="1:4" x14ac:dyDescent="0.3">
      <c r="A86" t="s">
        <v>190</v>
      </c>
      <c r="B86" t="b">
        <f>OR(FALSE,0,Inputs!A1)</f>
        <v>1</v>
      </c>
      <c r="C86" t="s">
        <v>21</v>
      </c>
      <c r="D86" t="s">
        <v>191</v>
      </c>
    </row>
    <row r="87" spans="1:4" x14ac:dyDescent="0.3">
      <c r="A87" t="s">
        <v>192</v>
      </c>
      <c r="B87" t="str">
        <f>_xlfn.SWITCH(3,1,"one",3,"three","other")</f>
        <v>three</v>
      </c>
      <c r="C87" t="s">
        <v>21</v>
      </c>
      <c r="D87" t="s">
        <v>193</v>
      </c>
    </row>
    <row r="88" spans="1:4" x14ac:dyDescent="0.3">
      <c r="A88" t="s">
        <v>194</v>
      </c>
      <c r="B88" t="b">
        <f>TRUE()</f>
        <v>1</v>
      </c>
      <c r="C88" t="s">
        <v>21</v>
      </c>
      <c r="D88" t="s">
        <v>195</v>
      </c>
    </row>
    <row r="89" spans="1:4" x14ac:dyDescent="0.3">
      <c r="A89" t="s">
        <v>196</v>
      </c>
      <c r="B89" t="b">
        <f>_xlfn.XOR(TRUE,FALSE,TRUE)</f>
        <v>0</v>
      </c>
      <c r="C89" t="s">
        <v>21</v>
      </c>
      <c r="D89" t="s">
        <v>197</v>
      </c>
    </row>
    <row r="90" spans="1:4" x14ac:dyDescent="0.3">
      <c r="A90" t="s">
        <v>198</v>
      </c>
      <c r="B90" t="str">
        <f>ADDRESS(3,4,2,TRUE,"Q1 Sales")</f>
        <v>'Q1 Sales'!D$3</v>
      </c>
      <c r="C90" t="s">
        <v>21</v>
      </c>
      <c r="D90" t="s">
        <v>199</v>
      </c>
    </row>
    <row r="91" spans="1:4" x14ac:dyDescent="0.3">
      <c r="A91" t="s">
        <v>200</v>
      </c>
      <c r="B91" t="str">
        <f>CHOOSE(2,"red","green","blue")</f>
        <v>green</v>
      </c>
      <c r="C91" t="s">
        <v>21</v>
      </c>
      <c r="D91" t="s">
        <v>201</v>
      </c>
    </row>
    <row r="92" spans="1:4" x14ac:dyDescent="0.3">
      <c r="A92" t="s">
        <v>202</v>
      </c>
      <c r="B92">
        <f>COLUMN(Matrix!B2)</f>
        <v>2</v>
      </c>
      <c r="C92" t="s">
        <v>21</v>
      </c>
      <c r="D92" t="s">
        <v>203</v>
      </c>
    </row>
    <row r="93" spans="1:4" x14ac:dyDescent="0.3">
      <c r="A93" t="s">
        <v>204</v>
      </c>
      <c r="B93">
        <f>COLUMNS(Matrix!A1:C3)</f>
        <v>3</v>
      </c>
      <c r="C93" t="s">
        <v>21</v>
      </c>
      <c r="D93" t="s">
        <v>205</v>
      </c>
    </row>
    <row r="94" spans="1:4" x14ac:dyDescent="0.3">
      <c r="A94" t="s">
        <v>206</v>
      </c>
      <c r="B94">
        <f>HLOOKUP(4,Lookup!A6:D7,2,TRUE)</f>
        <v>30</v>
      </c>
      <c r="C94" t="s">
        <v>21</v>
      </c>
      <c r="D94" t="s">
        <v>207</v>
      </c>
    </row>
    <row r="95" spans="1:4" x14ac:dyDescent="0.3">
      <c r="A95" t="s">
        <v>208</v>
      </c>
      <c r="B95">
        <f>INDEX(Matrix!A1:C3,2,3)</f>
        <v>6</v>
      </c>
      <c r="C95" t="s">
        <v>21</v>
      </c>
      <c r="D95" t="s">
        <v>209</v>
      </c>
    </row>
    <row r="96" spans="1:4" x14ac:dyDescent="0.3">
      <c r="A96" t="s">
        <v>210</v>
      </c>
      <c r="B96">
        <f ca="1">INDIRECT("Matrix!B2",TRUE)</f>
        <v>5</v>
      </c>
      <c r="C96" t="s">
        <v>21</v>
      </c>
      <c r="D96" t="s">
        <v>211</v>
      </c>
    </row>
    <row r="97" spans="1:4" x14ac:dyDescent="0.3">
      <c r="A97" t="s">
        <v>212</v>
      </c>
      <c r="B97" t="str">
        <f>LOOKUP(4,Lookup!A1:A4,Lookup!B1:B4)</f>
        <v>three</v>
      </c>
      <c r="C97" t="s">
        <v>21</v>
      </c>
      <c r="D97" t="s">
        <v>213</v>
      </c>
    </row>
    <row r="98" spans="1:4" x14ac:dyDescent="0.3">
      <c r="A98" t="s">
        <v>214</v>
      </c>
      <c r="B98">
        <f>MATCH(4,Lookup!A1:A4,1)</f>
        <v>2</v>
      </c>
      <c r="C98" t="s">
        <v>21</v>
      </c>
      <c r="D98" t="s">
        <v>215</v>
      </c>
    </row>
    <row r="99" spans="1:4" x14ac:dyDescent="0.3">
      <c r="A99" t="s">
        <v>216</v>
      </c>
      <c r="B99">
        <f ca="1">SUM(OFFSET(Matrix!A1,1,1,2,2))</f>
        <v>28</v>
      </c>
      <c r="C99" t="s">
        <v>21</v>
      </c>
      <c r="D99" t="s">
        <v>217</v>
      </c>
    </row>
    <row r="100" spans="1:4" x14ac:dyDescent="0.3">
      <c r="A100" t="s">
        <v>218</v>
      </c>
      <c r="B100">
        <f>ROW(Matrix!B2)</f>
        <v>2</v>
      </c>
      <c r="C100" t="s">
        <v>21</v>
      </c>
      <c r="D100" t="s">
        <v>219</v>
      </c>
    </row>
    <row r="101" spans="1:4" x14ac:dyDescent="0.3">
      <c r="A101" t="s">
        <v>220</v>
      </c>
      <c r="B101">
        <f>ROWS(Matrix!A1:C3)</f>
        <v>3</v>
      </c>
      <c r="C101" t="s">
        <v>21</v>
      </c>
      <c r="D101" t="s">
        <v>221</v>
      </c>
    </row>
    <row r="102" spans="1:4" x14ac:dyDescent="0.3">
      <c r="A102" t="s">
        <v>222</v>
      </c>
      <c r="B102" t="str">
        <f>VLOOKUP(4,Lookup!A1:B4,2,TRUE)</f>
        <v>three</v>
      </c>
      <c r="C102" t="s">
        <v>21</v>
      </c>
      <c r="D102" t="s">
        <v>223</v>
      </c>
    </row>
    <row r="103" spans="1:4" x14ac:dyDescent="0.3">
      <c r="A103" t="s">
        <v>224</v>
      </c>
      <c r="B103" t="str">
        <f>_xlfn.XLOOKUP(5,Lookup!A1:A4,Lookup!B1:B4,"missing",0)</f>
        <v>five</v>
      </c>
      <c r="C103" t="s">
        <v>21</v>
      </c>
      <c r="D103" t="s">
        <v>225</v>
      </c>
    </row>
    <row r="104" spans="1:4" x14ac:dyDescent="0.3">
      <c r="A104" t="s">
        <v>226</v>
      </c>
      <c r="B104" t="str">
        <f>CHAR(65)</f>
        <v>A</v>
      </c>
      <c r="C104" t="s">
        <v>21</v>
      </c>
      <c r="D104" t="s">
        <v>227</v>
      </c>
    </row>
    <row r="105" spans="1:4" x14ac:dyDescent="0.3">
      <c r="A105" t="s">
        <v>228</v>
      </c>
      <c r="B105" t="str">
        <f>CLEAN("a"&amp;CHAR(9)&amp;"b"&amp;CHAR(10)&amp;"c")</f>
        <v>abc</v>
      </c>
      <c r="C105" t="s">
        <v>21</v>
      </c>
      <c r="D105" t="s">
        <v>229</v>
      </c>
    </row>
    <row r="106" spans="1:4" x14ac:dyDescent="0.3">
      <c r="A106" t="s">
        <v>230</v>
      </c>
      <c r="B106">
        <f>CODE("Az")</f>
        <v>65</v>
      </c>
      <c r="C106" t="s">
        <v>21</v>
      </c>
      <c r="D106" t="s">
        <v>231</v>
      </c>
    </row>
    <row r="107" spans="1:4" x14ac:dyDescent="0.3">
      <c r="A107" t="s">
        <v>232</v>
      </c>
      <c r="B107" t="str">
        <f>_xlfn.CONCAT(Inputs!C1:C3)</f>
        <v>appleapricota*b</v>
      </c>
      <c r="C107" t="s">
        <v>21</v>
      </c>
      <c r="D107" t="s">
        <v>233</v>
      </c>
    </row>
    <row r="108" spans="1:4" x14ac:dyDescent="0.3">
      <c r="A108" t="s">
        <v>234</v>
      </c>
      <c r="B108" t="str">
        <f>CONCATENATE("a",12,TRUE)</f>
        <v>a12VRAI</v>
      </c>
      <c r="C108" t="s">
        <v>21</v>
      </c>
      <c r="D108" t="s">
        <v>235</v>
      </c>
    </row>
    <row r="109" spans="1:4" x14ac:dyDescent="0.3">
      <c r="A109" t="s">
        <v>236</v>
      </c>
      <c r="B109" t="b">
        <f>EXACT("Abc","abc")</f>
        <v>0</v>
      </c>
      <c r="C109" t="s">
        <v>21</v>
      </c>
      <c r="D109" t="s">
        <v>237</v>
      </c>
    </row>
    <row r="110" spans="1:4" x14ac:dyDescent="0.3">
      <c r="A110" t="s">
        <v>238</v>
      </c>
      <c r="B110">
        <f>FIND("b","ababa",3)</f>
        <v>4</v>
      </c>
      <c r="C110" t="s">
        <v>21</v>
      </c>
      <c r="D110" t="s">
        <v>239</v>
      </c>
    </row>
    <row r="111" spans="1:4" x14ac:dyDescent="0.3">
      <c r="A111" t="s">
        <v>240</v>
      </c>
      <c r="B111" t="str">
        <f>LEFT("alpha",3)</f>
        <v>alp</v>
      </c>
      <c r="C111" t="s">
        <v>21</v>
      </c>
      <c r="D111" t="s">
        <v>241</v>
      </c>
    </row>
    <row r="112" spans="1:4" x14ac:dyDescent="0.3">
      <c r="A112" t="s">
        <v>242</v>
      </c>
      <c r="B112">
        <f>LEN(" alpha ")</f>
        <v>7</v>
      </c>
      <c r="C112" t="s">
        <v>21</v>
      </c>
      <c r="D112" t="s">
        <v>243</v>
      </c>
    </row>
    <row r="113" spans="1:4 16383:16384" x14ac:dyDescent="0.3">
      <c r="A113" t="s">
        <v>244</v>
      </c>
      <c r="B113" t="str">
        <f>LOWER("AbC 19")</f>
        <v>abc 19</v>
      </c>
      <c r="C113" t="s">
        <v>21</v>
      </c>
      <c r="D113" t="s">
        <v>245</v>
      </c>
    </row>
    <row r="114" spans="1:4 16383:16384" x14ac:dyDescent="0.3">
      <c r="A114" t="s">
        <v>246</v>
      </c>
      <c r="B114" t="str">
        <f>MID("alphabet",3,4)</f>
        <v>phab</v>
      </c>
      <c r="C114" t="s">
        <v>21</v>
      </c>
      <c r="D114" t="s">
        <v>247</v>
      </c>
    </row>
    <row r="115" spans="1:4 16383:16384" x14ac:dyDescent="0.3">
      <c r="A115" t="s">
        <v>248</v>
      </c>
      <c r="B115" t="str">
        <f>PROPER("o'BRIEN 2ND avenue")</f>
        <v>O'Brien 2Nd Avenue</v>
      </c>
      <c r="C115" t="s">
        <v>21</v>
      </c>
      <c r="D115" t="s">
        <v>249</v>
      </c>
    </row>
    <row r="116" spans="1:4 16383:16384" x14ac:dyDescent="0.3">
      <c r="A116" t="s">
        <v>250</v>
      </c>
      <c r="B116" t="str">
        <f>REPLACE("abcdef",2,3,"XY")</f>
        <v>aXYef</v>
      </c>
      <c r="C116" t="s">
        <v>21</v>
      </c>
      <c r="D116" t="s">
        <v>251</v>
      </c>
    </row>
    <row r="117" spans="1:4 16383:16384" x14ac:dyDescent="0.3">
      <c r="A117" t="s">
        <v>252</v>
      </c>
      <c r="B117" t="str">
        <f>REPT("ab",3)</f>
        <v>ababab</v>
      </c>
      <c r="C117" t="s">
        <v>21</v>
      </c>
      <c r="D117" t="s">
        <v>253</v>
      </c>
    </row>
    <row r="118" spans="1:4 16383:16384" x14ac:dyDescent="0.3">
      <c r="A118" t="s">
        <v>254</v>
      </c>
      <c r="B118" t="str">
        <f>RIGHT("alpha",2)</f>
        <v>ha</v>
      </c>
      <c r="C118" t="s">
        <v>21</v>
      </c>
      <c r="D118" t="s">
        <v>255</v>
      </c>
    </row>
    <row r="119" spans="1:4 16383:16384" x14ac:dyDescent="0.3">
      <c r="A119" t="s">
        <v>256</v>
      </c>
      <c r="B119">
        <f>SEARCH("a?c","xxAbCyy")</f>
        <v>3</v>
      </c>
      <c r="C119" t="s">
        <v>21</v>
      </c>
      <c r="D119" t="s">
        <v>257</v>
      </c>
    </row>
    <row r="120" spans="1:4 16383:16384" x14ac:dyDescent="0.3">
      <c r="A120" t="s">
        <v>258</v>
      </c>
      <c r="B120" t="str">
        <f>SUBSTITUTE("a-b-a-b","a","X",2)</f>
        <v>a-b-X-b</v>
      </c>
      <c r="C120" t="s">
        <v>21</v>
      </c>
      <c r="D120" t="s">
        <v>259</v>
      </c>
    </row>
    <row r="121" spans="1:4 16383:16384" x14ac:dyDescent="0.3">
      <c r="A121" t="s">
        <v>260</v>
      </c>
      <c r="B121" t="str">
        <f>T(Inputs!C1)</f>
        <v>apple</v>
      </c>
      <c r="C121" t="s">
        <v>21</v>
      </c>
      <c r="D121" t="s">
        <v>261</v>
      </c>
    </row>
    <row r="122" spans="1:4 16383:16384" x14ac:dyDescent="0.3">
      <c r="A122" t="s">
        <v>262</v>
      </c>
      <c r="B122" t="str">
        <f>TEXT(1234.5,"0.00")</f>
        <v>1234.50</v>
      </c>
      <c r="C122" t="s">
        <v>21</v>
      </c>
      <c r="D122" t="s">
        <v>263</v>
      </c>
      <c r="XFC122" s="4"/>
      <c r="XFD122" t="str">
        <f>TEXT(1234.5,"[$-409]0.00")</f>
        <v>1234.50</v>
      </c>
    </row>
    <row r="123" spans="1:4 16383:16384" x14ac:dyDescent="0.3">
      <c r="A123" t="s">
        <v>264</v>
      </c>
      <c r="B123" t="str">
        <f>_xlfn.TEXTJOIN("|",TRUE,Inputs!C1:C3)</f>
        <v>apple|apricot|a*b</v>
      </c>
      <c r="C123" t="s">
        <v>21</v>
      </c>
      <c r="D123" t="s">
        <v>265</v>
      </c>
    </row>
    <row r="124" spans="1:4 16383:16384" x14ac:dyDescent="0.3">
      <c r="A124" t="s">
        <v>266</v>
      </c>
      <c r="B124" t="str">
        <f>TRIM("  a   b  ")</f>
        <v>a b</v>
      </c>
      <c r="C124" t="s">
        <v>21</v>
      </c>
      <c r="D124" t="s">
        <v>267</v>
      </c>
    </row>
    <row r="125" spans="1:4 16383:16384" x14ac:dyDescent="0.3">
      <c r="A125" t="s">
        <v>268</v>
      </c>
      <c r="B125" t="str">
        <f>UPPER("Abc 19")</f>
        <v>ABC 19</v>
      </c>
      <c r="C125" t="s">
        <v>21</v>
      </c>
      <c r="D125" t="s">
        <v>269</v>
      </c>
    </row>
    <row r="126" spans="1:4 16383:16384" x14ac:dyDescent="0.3">
      <c r="A126" t="s">
        <v>270</v>
      </c>
      <c r="B126">
        <f>VALUE("123.5")</f>
        <v>123.5</v>
      </c>
      <c r="C126" t="s">
        <v>21</v>
      </c>
      <c r="D126" t="s">
        <v>271</v>
      </c>
    </row>
    <row r="127" spans="1:4 16383:16384" x14ac:dyDescent="0.3">
      <c r="A127" t="s">
        <v>272</v>
      </c>
      <c r="B127">
        <f>DATE(2024,2,29)</f>
        <v>45351</v>
      </c>
      <c r="C127" t="s">
        <v>21</v>
      </c>
      <c r="D127" t="s">
        <v>273</v>
      </c>
    </row>
    <row r="128" spans="1:4 16383:16384" x14ac:dyDescent="0.3">
      <c r="A128" t="s">
        <v>274</v>
      </c>
      <c r="B128">
        <f>DATEVALUE("2024-01-31")</f>
        <v>45322</v>
      </c>
      <c r="C128" t="s">
        <v>21</v>
      </c>
      <c r="D128" t="s">
        <v>275</v>
      </c>
    </row>
    <row r="129" spans="1:4" x14ac:dyDescent="0.3">
      <c r="A129" t="s">
        <v>276</v>
      </c>
      <c r="B129">
        <f>DAY(DATE(2024,2,29))</f>
        <v>29</v>
      </c>
      <c r="C129" t="s">
        <v>21</v>
      </c>
      <c r="D129" t="s">
        <v>277</v>
      </c>
    </row>
    <row r="130" spans="1:4" x14ac:dyDescent="0.3">
      <c r="A130" t="s">
        <v>278</v>
      </c>
      <c r="B130">
        <f>_xlfn.DAYS(DATE(2024,3,1),DATE(2024,2,28))</f>
        <v>2</v>
      </c>
      <c r="C130" t="s">
        <v>21</v>
      </c>
      <c r="D130" t="s">
        <v>279</v>
      </c>
    </row>
    <row r="131" spans="1:4" x14ac:dyDescent="0.3">
      <c r="A131" t="s">
        <v>280</v>
      </c>
      <c r="B131">
        <f>EDATE(DATE(2024,1,31),1)</f>
        <v>45351</v>
      </c>
      <c r="C131" t="s">
        <v>21</v>
      </c>
      <c r="D131" t="s">
        <v>281</v>
      </c>
    </row>
    <row r="132" spans="1:4" x14ac:dyDescent="0.3">
      <c r="A132" t="s">
        <v>282</v>
      </c>
      <c r="B132">
        <f>EOMONTH(DATE(2024,1,15),1)</f>
        <v>45351</v>
      </c>
      <c r="C132" t="s">
        <v>21</v>
      </c>
      <c r="D132" t="s">
        <v>283</v>
      </c>
    </row>
    <row r="133" spans="1:4" x14ac:dyDescent="0.3">
      <c r="A133" t="s">
        <v>284</v>
      </c>
      <c r="B133">
        <f>HOUR(TIME(23,45,30))</f>
        <v>23</v>
      </c>
      <c r="C133" t="s">
        <v>21</v>
      </c>
      <c r="D133" t="s">
        <v>285</v>
      </c>
    </row>
    <row r="134" spans="1:4" x14ac:dyDescent="0.3">
      <c r="A134" t="s">
        <v>286</v>
      </c>
      <c r="B134">
        <f>MINUTE(TIME(23,45,30))</f>
        <v>45</v>
      </c>
      <c r="C134" t="s">
        <v>21</v>
      </c>
      <c r="D134" t="s">
        <v>287</v>
      </c>
    </row>
    <row r="135" spans="1:4" x14ac:dyDescent="0.3">
      <c r="A135" t="s">
        <v>288</v>
      </c>
      <c r="B135">
        <f>MONTH(DATE(2024,2,29))</f>
        <v>2</v>
      </c>
      <c r="C135" t="s">
        <v>21</v>
      </c>
      <c r="D135" t="s">
        <v>289</v>
      </c>
    </row>
    <row r="136" spans="1:4" x14ac:dyDescent="0.3">
      <c r="A136" t="s">
        <v>290</v>
      </c>
      <c r="B136">
        <f ca="1">NOW()</f>
        <v>46297.163034837962</v>
      </c>
      <c r="C136" t="s">
        <v>78</v>
      </c>
      <c r="D136" t="s">
        <v>291</v>
      </c>
    </row>
    <row r="137" spans="1:4" x14ac:dyDescent="0.3">
      <c r="A137" t="s">
        <v>292</v>
      </c>
      <c r="B137">
        <f>SECOND(TIME(23,45,30))</f>
        <v>30</v>
      </c>
      <c r="C137" t="s">
        <v>21</v>
      </c>
      <c r="D137" t="s">
        <v>293</v>
      </c>
    </row>
    <row r="138" spans="1:4" x14ac:dyDescent="0.3">
      <c r="A138" t="s">
        <v>294</v>
      </c>
      <c r="B138">
        <f>TIME(25,90,75)</f>
        <v>0.10503472222222232</v>
      </c>
      <c r="C138" t="s">
        <v>21</v>
      </c>
      <c r="D138" t="s">
        <v>295</v>
      </c>
    </row>
    <row r="139" spans="1:4" x14ac:dyDescent="0.3">
      <c r="A139" t="s">
        <v>296</v>
      </c>
      <c r="B139">
        <f>TIMEVALUE("23:45:30")</f>
        <v>0.98993055555555554</v>
      </c>
      <c r="C139" t="s">
        <v>21</v>
      </c>
      <c r="D139" t="s">
        <v>297</v>
      </c>
    </row>
    <row r="140" spans="1:4" x14ac:dyDescent="0.3">
      <c r="A140" t="s">
        <v>298</v>
      </c>
      <c r="B140">
        <f ca="1">TODAY()</f>
        <v>46297</v>
      </c>
      <c r="C140" t="s">
        <v>78</v>
      </c>
      <c r="D140" t="s">
        <v>299</v>
      </c>
    </row>
    <row r="141" spans="1:4" x14ac:dyDescent="0.3">
      <c r="A141" t="s">
        <v>300</v>
      </c>
      <c r="B141">
        <f>WEEKDAY(61)</f>
        <v>5</v>
      </c>
      <c r="C141" t="s">
        <v>21</v>
      </c>
      <c r="D141" t="s">
        <v>301</v>
      </c>
    </row>
    <row r="142" spans="1:4" x14ac:dyDescent="0.3">
      <c r="A142" t="s">
        <v>302</v>
      </c>
      <c r="B142">
        <f>YEAR(DATE(2024,2,29))</f>
        <v>2024</v>
      </c>
      <c r="C142" t="s">
        <v>21</v>
      </c>
      <c r="D142" t="s">
        <v>303</v>
      </c>
    </row>
    <row r="143" spans="1:4" x14ac:dyDescent="0.3">
      <c r="A143" t="s">
        <v>304</v>
      </c>
      <c r="B143">
        <f>ERROR.TYPE(NA())</f>
        <v>7</v>
      </c>
      <c r="C143" t="s">
        <v>21</v>
      </c>
      <c r="D143" t="s">
        <v>305</v>
      </c>
    </row>
    <row r="144" spans="1:4" x14ac:dyDescent="0.3">
      <c r="A144" t="s">
        <v>306</v>
      </c>
      <c r="B144" t="b">
        <f>ISBLANK(Inputs!B5)</f>
        <v>1</v>
      </c>
      <c r="C144" t="s">
        <v>21</v>
      </c>
      <c r="D144" t="s">
        <v>307</v>
      </c>
    </row>
    <row r="145" spans="1:4" x14ac:dyDescent="0.3">
      <c r="A145" t="s">
        <v>308</v>
      </c>
      <c r="B145" t="b">
        <f>ISERR(1/0)</f>
        <v>1</v>
      </c>
      <c r="C145" t="s">
        <v>21</v>
      </c>
      <c r="D145" t="s">
        <v>309</v>
      </c>
    </row>
    <row r="146" spans="1:4" x14ac:dyDescent="0.3">
      <c r="A146" t="s">
        <v>310</v>
      </c>
      <c r="B146" t="b">
        <f>ISERROR(NA())</f>
        <v>1</v>
      </c>
      <c r="C146" t="s">
        <v>21</v>
      </c>
      <c r="D146" t="s">
        <v>311</v>
      </c>
    </row>
    <row r="147" spans="1:4" x14ac:dyDescent="0.3">
      <c r="A147" t="s">
        <v>312</v>
      </c>
      <c r="B147" t="b">
        <f>ISEVEN(-3.9)</f>
        <v>0</v>
      </c>
      <c r="C147" t="s">
        <v>21</v>
      </c>
      <c r="D147" t="s">
        <v>313</v>
      </c>
    </row>
    <row r="148" spans="1:4" x14ac:dyDescent="0.3">
      <c r="A148" t="s">
        <v>314</v>
      </c>
      <c r="B148" t="b">
        <f>ISLOGICAL(Inputs!B1)</f>
        <v>1</v>
      </c>
      <c r="C148" t="s">
        <v>21</v>
      </c>
      <c r="D148" t="s">
        <v>315</v>
      </c>
    </row>
    <row r="149" spans="1:4" x14ac:dyDescent="0.3">
      <c r="A149" t="s">
        <v>316</v>
      </c>
      <c r="B149" t="b">
        <f>ISNA(NA())</f>
        <v>1</v>
      </c>
      <c r="C149" t="s">
        <v>21</v>
      </c>
      <c r="D149" t="s">
        <v>317</v>
      </c>
    </row>
    <row r="150" spans="1:4" x14ac:dyDescent="0.3">
      <c r="A150" t="s">
        <v>318</v>
      </c>
      <c r="B150" t="b">
        <f>ISNONTEXT(Inputs!B5)</f>
        <v>1</v>
      </c>
      <c r="C150" t="s">
        <v>21</v>
      </c>
      <c r="D150" t="s">
        <v>319</v>
      </c>
    </row>
    <row r="151" spans="1:4" x14ac:dyDescent="0.3">
      <c r="A151" t="s">
        <v>320</v>
      </c>
      <c r="B151" t="b">
        <f>ISNUMBER(Inputs!B3)</f>
        <v>0</v>
      </c>
      <c r="C151" t="s">
        <v>21</v>
      </c>
      <c r="D151" t="s">
        <v>321</v>
      </c>
    </row>
    <row r="152" spans="1:4" x14ac:dyDescent="0.3">
      <c r="A152" t="s">
        <v>322</v>
      </c>
      <c r="B152" t="b">
        <f>ISODD(-3.9)</f>
        <v>1</v>
      </c>
      <c r="C152" t="s">
        <v>21</v>
      </c>
      <c r="D152" t="s">
        <v>323</v>
      </c>
    </row>
    <row r="153" spans="1:4" x14ac:dyDescent="0.3">
      <c r="A153" t="s">
        <v>324</v>
      </c>
      <c r="B153" t="b">
        <f>ISREF(Matrix!A1)</f>
        <v>1</v>
      </c>
      <c r="C153" t="s">
        <v>21</v>
      </c>
      <c r="D153" t="s">
        <v>325</v>
      </c>
    </row>
    <row r="154" spans="1:4" x14ac:dyDescent="0.3">
      <c r="A154" t="s">
        <v>326</v>
      </c>
      <c r="B154" t="b">
        <f>ISTEXT(Inputs!B3)</f>
        <v>1</v>
      </c>
      <c r="C154" t="s">
        <v>21</v>
      </c>
      <c r="D154" t="s">
        <v>327</v>
      </c>
    </row>
    <row r="155" spans="1:4" x14ac:dyDescent="0.3">
      <c r="A155" t="s">
        <v>328</v>
      </c>
      <c r="B155">
        <f>N(TRUE)</f>
        <v>1</v>
      </c>
      <c r="C155" t="s">
        <v>21</v>
      </c>
      <c r="D155" t="s">
        <v>329</v>
      </c>
    </row>
    <row r="156" spans="1:4" x14ac:dyDescent="0.3">
      <c r="A156" t="s">
        <v>330</v>
      </c>
      <c r="B156" t="e">
        <f>NA()</f>
        <v>#N/A</v>
      </c>
      <c r="C156" t="s">
        <v>21</v>
      </c>
      <c r="D156" t="s">
        <v>331</v>
      </c>
    </row>
    <row r="157" spans="1:4" x14ac:dyDescent="0.3">
      <c r="A157" t="s">
        <v>332</v>
      </c>
      <c r="B157">
        <f>FV(0.05/12,24,-100,-1000,0)</f>
        <v>3623.5333889581934</v>
      </c>
      <c r="C157" t="s">
        <v>21</v>
      </c>
      <c r="D157" t="s">
        <v>333</v>
      </c>
    </row>
    <row r="158" spans="1:4" x14ac:dyDescent="0.3">
      <c r="A158" t="s">
        <v>334</v>
      </c>
      <c r="B158">
        <f>NPV(0.1,Flows!A2:A4)+Flows!A1</f>
        <v>-21.036814425244188</v>
      </c>
      <c r="C158" t="s">
        <v>21</v>
      </c>
      <c r="D158" t="s">
        <v>335</v>
      </c>
    </row>
    <row r="159" spans="1:4" x14ac:dyDescent="0.3">
      <c r="A159" t="s">
        <v>336</v>
      </c>
      <c r="B159">
        <f>PMT(0.05/12,24,1000,0,0)</f>
        <v>-43.871389734068444</v>
      </c>
      <c r="C159" t="s">
        <v>21</v>
      </c>
      <c r="D159" t="s">
        <v>337</v>
      </c>
    </row>
    <row r="160" spans="1:4" x14ac:dyDescent="0.3">
      <c r="A160" t="s">
        <v>338</v>
      </c>
      <c r="B160">
        <f>PV(0.05/12,24,-100,0,1)</f>
        <v>2288.8872970597567</v>
      </c>
      <c r="C160" t="s">
        <v>21</v>
      </c>
      <c r="D160" t="s">
        <v>339</v>
      </c>
    </row>
    <row r="161" spans="1:4" x14ac:dyDescent="0.3">
      <c r="A161" t="s">
        <v>340</v>
      </c>
      <c r="B161">
        <f>ROUND(2.675,2)</f>
        <v>2.68</v>
      </c>
      <c r="C161" t="s">
        <v>21</v>
      </c>
      <c r="D161" t="s">
        <v>83</v>
      </c>
    </row>
    <row r="162" spans="1:4" x14ac:dyDescent="0.3">
      <c r="A162" t="s">
        <v>341</v>
      </c>
      <c r="B162">
        <f>ROUND(-2.675,2)</f>
        <v>-2.68</v>
      </c>
      <c r="C162" t="s">
        <v>21</v>
      </c>
      <c r="D162" t="s">
        <v>342</v>
      </c>
    </row>
    <row r="163" spans="1:4" x14ac:dyDescent="0.3">
      <c r="A163" t="s">
        <v>343</v>
      </c>
      <c r="B163" t="b">
        <f>0.1+0.2=0.3</f>
        <v>1</v>
      </c>
      <c r="C163" t="s">
        <v>21</v>
      </c>
      <c r="D163" t="s">
        <v>344</v>
      </c>
    </row>
    <row r="164" spans="1:4" x14ac:dyDescent="0.3">
      <c r="A164" t="s">
        <v>345</v>
      </c>
      <c r="B164">
        <f>1-0.9-0.1</f>
        <v>0</v>
      </c>
      <c r="C164" t="s">
        <v>21</v>
      </c>
      <c r="D164" t="s">
        <v>346</v>
      </c>
    </row>
    <row r="165" spans="1:4" x14ac:dyDescent="0.3">
      <c r="A165" t="s">
        <v>347</v>
      </c>
      <c r="B165">
        <f>(1-0.9-0.1)*1000000000000000</f>
        <v>-2.7755575615628914E-2</v>
      </c>
      <c r="C165" t="s">
        <v>21</v>
      </c>
      <c r="D165" t="s">
        <v>348</v>
      </c>
    </row>
    <row r="166" spans="1:4" x14ac:dyDescent="0.3">
      <c r="A166" t="s">
        <v>349</v>
      </c>
      <c r="B166">
        <f>-2^2</f>
        <v>4</v>
      </c>
      <c r="C166" t="s">
        <v>21</v>
      </c>
      <c r="D166" t="s">
        <v>350</v>
      </c>
    </row>
    <row r="167" spans="1:4" x14ac:dyDescent="0.3">
      <c r="A167" t="s">
        <v>351</v>
      </c>
      <c r="B167">
        <f>2^3^2</f>
        <v>64</v>
      </c>
      <c r="C167" t="s">
        <v>21</v>
      </c>
      <c r="D167" t="s">
        <v>352</v>
      </c>
    </row>
    <row r="168" spans="1:4" x14ac:dyDescent="0.3">
      <c r="A168" t="s">
        <v>353</v>
      </c>
      <c r="B168">
        <f>-20%^2</f>
        <v>4.0000000000000008E-2</v>
      </c>
      <c r="C168" t="s">
        <v>21</v>
      </c>
      <c r="D168" t="s">
        <v>354</v>
      </c>
    </row>
    <row r="169" spans="1:4" x14ac:dyDescent="0.3">
      <c r="A169" t="s">
        <v>355</v>
      </c>
      <c r="B169" t="e">
        <f>1/0</f>
        <v>#DIV/0!</v>
      </c>
      <c r="C169" t="s">
        <v>21</v>
      </c>
      <c r="D169" t="s">
        <v>356</v>
      </c>
    </row>
    <row r="170" spans="1:4" x14ac:dyDescent="0.3">
      <c r="A170" t="s">
        <v>357</v>
      </c>
      <c r="B170" t="e">
        <f>0^0</f>
        <v>#NUM!</v>
      </c>
      <c r="C170" t="s">
        <v>21</v>
      </c>
      <c r="D170" t="s">
        <v>358</v>
      </c>
    </row>
    <row r="171" spans="1:4" x14ac:dyDescent="0.3">
      <c r="A171" t="s">
        <v>359</v>
      </c>
      <c r="B171" t="e">
        <f>(2^1023)*10</f>
        <v>#NUM!</v>
      </c>
      <c r="C171" t="s">
        <v>21</v>
      </c>
      <c r="D171" t="s">
        <v>360</v>
      </c>
    </row>
    <row r="172" spans="1:4" x14ac:dyDescent="0.3">
      <c r="A172" t="s">
        <v>361</v>
      </c>
      <c r="B172">
        <f>0/2</f>
        <v>0</v>
      </c>
      <c r="C172" t="s">
        <v>21</v>
      </c>
      <c r="D172" t="s">
        <v>362</v>
      </c>
    </row>
    <row r="173" spans="1:4" x14ac:dyDescent="0.3">
      <c r="A173" t="s">
        <v>363</v>
      </c>
      <c r="B173">
        <f>SUM(TRUE,"3")</f>
        <v>4</v>
      </c>
      <c r="C173" t="s">
        <v>21</v>
      </c>
      <c r="D173" t="s">
        <v>364</v>
      </c>
    </row>
    <row r="174" spans="1:4" x14ac:dyDescent="0.3">
      <c r="A174" t="s">
        <v>365</v>
      </c>
      <c r="B174">
        <f>SUM(Inputs!B1:B8)</f>
        <v>5</v>
      </c>
      <c r="C174" t="s">
        <v>21</v>
      </c>
      <c r="D174" t="s">
        <v>366</v>
      </c>
    </row>
    <row r="175" spans="1:4" x14ac:dyDescent="0.3">
      <c r="A175" t="s">
        <v>367</v>
      </c>
      <c r="B175">
        <f>SUM({1,TRUE,"3"})</f>
        <v>1</v>
      </c>
      <c r="C175" t="s">
        <v>21</v>
      </c>
      <c r="D175" t="s">
        <v>368</v>
      </c>
    </row>
    <row r="176" spans="1:4" x14ac:dyDescent="0.3">
      <c r="A176" t="s">
        <v>369</v>
      </c>
      <c r="B176">
        <f>"3"+TRUE</f>
        <v>4</v>
      </c>
      <c r="C176" t="s">
        <v>21</v>
      </c>
      <c r="D176" t="s">
        <v>370</v>
      </c>
    </row>
    <row r="177" spans="1:4" x14ac:dyDescent="0.3">
      <c r="A177" t="s">
        <v>371</v>
      </c>
      <c r="B177" t="e">
        <f>"abc"+1</f>
        <v>#VALUE!</v>
      </c>
      <c r="C177" t="s">
        <v>21</v>
      </c>
      <c r="D177" t="s">
        <v>372</v>
      </c>
    </row>
    <row r="178" spans="1:4" x14ac:dyDescent="0.3">
      <c r="A178" t="s">
        <v>373</v>
      </c>
      <c r="B178">
        <f>Inputs!B5+1</f>
        <v>1</v>
      </c>
      <c r="C178" t="s">
        <v>21</v>
      </c>
      <c r="D178" t="s">
        <v>374</v>
      </c>
    </row>
    <row r="179" spans="1:4" x14ac:dyDescent="0.3">
      <c r="A179" t="s">
        <v>375</v>
      </c>
      <c r="B179" t="str">
        <f>Inputs!B5&amp;"x"</f>
        <v>x</v>
      </c>
      <c r="C179" t="s">
        <v>21</v>
      </c>
      <c r="D179" t="s">
        <v>376</v>
      </c>
    </row>
    <row r="180" spans="1:4" x14ac:dyDescent="0.3">
      <c r="A180" t="s">
        <v>377</v>
      </c>
      <c r="B180" t="b">
        <f>Inputs!B5=""</f>
        <v>1</v>
      </c>
      <c r="C180" t="s">
        <v>21</v>
      </c>
      <c r="D180" t="s">
        <v>378</v>
      </c>
    </row>
    <row r="181" spans="1:4" x14ac:dyDescent="0.3">
      <c r="A181" t="s">
        <v>379</v>
      </c>
      <c r="B181" t="b">
        <f>ISBLANK(Inputs!B7)</f>
        <v>0</v>
      </c>
      <c r="C181" t="s">
        <v>21</v>
      </c>
      <c r="D181" t="s">
        <v>380</v>
      </c>
    </row>
    <row r="182" spans="1:4" x14ac:dyDescent="0.3">
      <c r="A182" t="s">
        <v>381</v>
      </c>
      <c r="B182" t="b">
        <f>1&lt;"0"</f>
        <v>1</v>
      </c>
      <c r="C182" t="s">
        <v>21</v>
      </c>
      <c r="D182" t="s">
        <v>382</v>
      </c>
    </row>
    <row r="183" spans="1:4" x14ac:dyDescent="0.3">
      <c r="A183" t="s">
        <v>383</v>
      </c>
      <c r="B183" t="b">
        <f>"z"&lt;FALSE</f>
        <v>1</v>
      </c>
      <c r="C183" t="s">
        <v>21</v>
      </c>
      <c r="D183" t="s">
        <v>384</v>
      </c>
    </row>
    <row r="184" spans="1:4" x14ac:dyDescent="0.3">
      <c r="A184" t="s">
        <v>385</v>
      </c>
      <c r="B184" t="b">
        <f>999999&lt;TRUE</f>
        <v>1</v>
      </c>
      <c r="C184" t="s">
        <v>21</v>
      </c>
      <c r="D184" t="s">
        <v>386</v>
      </c>
    </row>
    <row r="185" spans="1:4" x14ac:dyDescent="0.3">
      <c r="A185" t="s">
        <v>387</v>
      </c>
      <c r="B185" t="b">
        <f>1="1"</f>
        <v>0</v>
      </c>
      <c r="C185" t="s">
        <v>21</v>
      </c>
      <c r="D185" t="s">
        <v>388</v>
      </c>
    </row>
    <row r="186" spans="1:4" x14ac:dyDescent="0.3">
      <c r="A186" t="s">
        <v>389</v>
      </c>
      <c r="B186" t="b">
        <f>"AbC"="aBc"</f>
        <v>1</v>
      </c>
      <c r="C186" t="s">
        <v>21</v>
      </c>
      <c r="D186" t="s">
        <v>390</v>
      </c>
    </row>
    <row r="187" spans="1:4" x14ac:dyDescent="0.3">
      <c r="A187" t="s">
        <v>391</v>
      </c>
      <c r="B187" t="e">
        <f>SUM(1,NA())</f>
        <v>#N/A</v>
      </c>
      <c r="C187" t="s">
        <v>21</v>
      </c>
      <c r="D187" t="s">
        <v>392</v>
      </c>
    </row>
    <row r="188" spans="1:4" x14ac:dyDescent="0.3">
      <c r="A188" t="s">
        <v>393</v>
      </c>
      <c r="B188">
        <f>IF(TRUE,7,1/0)</f>
        <v>7</v>
      </c>
      <c r="C188" t="s">
        <v>21</v>
      </c>
      <c r="D188" t="s">
        <v>394</v>
      </c>
    </row>
    <row r="189" spans="1:4" x14ac:dyDescent="0.3">
      <c r="A189" t="s">
        <v>395</v>
      </c>
      <c r="B189">
        <f>IFERROR(7,1/0)</f>
        <v>7</v>
      </c>
      <c r="C189" t="s">
        <v>21</v>
      </c>
      <c r="D189" t="s">
        <v>396</v>
      </c>
    </row>
    <row r="190" spans="1:4" x14ac:dyDescent="0.3">
      <c r="A190" t="s">
        <v>397</v>
      </c>
      <c r="B190" t="e">
        <f>_xlfn.IFNA(1/0,9)</f>
        <v>#DIV/0!</v>
      </c>
      <c r="C190" t="s">
        <v>21</v>
      </c>
      <c r="D190" t="s">
        <v>398</v>
      </c>
    </row>
    <row r="191" spans="1:4" x14ac:dyDescent="0.3">
      <c r="A191" t="s">
        <v>399</v>
      </c>
      <c r="B191">
        <f>CHOOSE(2,1/0,7)</f>
        <v>7</v>
      </c>
      <c r="C191" t="s">
        <v>21</v>
      </c>
      <c r="D191" t="s">
        <v>400</v>
      </c>
    </row>
    <row r="192" spans="1:4" x14ac:dyDescent="0.3">
      <c r="A192" t="s">
        <v>401</v>
      </c>
      <c r="B192">
        <f>_xlfn.IFS(TRUE,7,TRUE,1/0)</f>
        <v>7</v>
      </c>
      <c r="C192" t="s">
        <v>21</v>
      </c>
      <c r="D192" t="s">
        <v>402</v>
      </c>
    </row>
    <row r="193" spans="1:4" x14ac:dyDescent="0.3">
      <c r="A193" t="s">
        <v>403</v>
      </c>
      <c r="B193" t="str">
        <f>_xlfn.SWITCH(9,1,"one","other")</f>
        <v>other</v>
      </c>
      <c r="C193" t="s">
        <v>21</v>
      </c>
      <c r="D193" t="s">
        <v>404</v>
      </c>
    </row>
    <row r="194" spans="1:4" x14ac:dyDescent="0.3">
      <c r="A194" t="s">
        <v>405</v>
      </c>
      <c r="B194">
        <f>MATCH(4,Lookup!D1:D4,-1)</f>
        <v>2</v>
      </c>
      <c r="C194" t="s">
        <v>21</v>
      </c>
      <c r="D194" t="s">
        <v>406</v>
      </c>
    </row>
    <row r="195" spans="1:4" x14ac:dyDescent="0.3">
      <c r="A195" t="s">
        <v>407</v>
      </c>
      <c r="B195">
        <f>MATCH(5,Lookup!A1:A4,0)</f>
        <v>3</v>
      </c>
      <c r="C195" t="s">
        <v>21</v>
      </c>
      <c r="D195" t="s">
        <v>408</v>
      </c>
    </row>
    <row r="196" spans="1:4" x14ac:dyDescent="0.3">
      <c r="A196" t="s">
        <v>409</v>
      </c>
      <c r="B196">
        <f>MATCH("a~*b",Inputs!C1:C8,0)</f>
        <v>3</v>
      </c>
      <c r="C196" t="s">
        <v>21</v>
      </c>
      <c r="D196" t="s">
        <v>410</v>
      </c>
    </row>
    <row r="197" spans="1:4" x14ac:dyDescent="0.3">
      <c r="A197" t="s">
        <v>411</v>
      </c>
      <c r="B197" t="str">
        <f>VLOOKUP(5,Lookup!A1:B4,2,FALSE)</f>
        <v>five</v>
      </c>
      <c r="C197" t="s">
        <v>21</v>
      </c>
      <c r="D197" t="s">
        <v>412</v>
      </c>
    </row>
    <row r="198" spans="1:4" x14ac:dyDescent="0.3">
      <c r="A198" t="s">
        <v>413</v>
      </c>
      <c r="B198" t="e">
        <f>LOOKUP(0,Lookup!A1:A4,Lookup!B1:B4)</f>
        <v>#N/A</v>
      </c>
      <c r="C198" t="s">
        <v>21</v>
      </c>
      <c r="D198" t="s">
        <v>414</v>
      </c>
    </row>
    <row r="199" spans="1:4" x14ac:dyDescent="0.3">
      <c r="A199" t="s">
        <v>415</v>
      </c>
      <c r="B199" t="str">
        <f>_xlfn.XLOOKUP(7,Lookup!A1:A4,Lookup!B1:B4,"missing",0)</f>
        <v>missing</v>
      </c>
      <c r="C199" t="s">
        <v>21</v>
      </c>
      <c r="D199" t="s">
        <v>416</v>
      </c>
    </row>
    <row r="200" spans="1:4" x14ac:dyDescent="0.3">
      <c r="A200" t="s">
        <v>417</v>
      </c>
      <c r="B200">
        <f>SUM(INDEX(Matrix!A1:C3,0,2))</f>
        <v>15</v>
      </c>
      <c r="C200" t="s">
        <v>21</v>
      </c>
      <c r="D200" t="s">
        <v>418</v>
      </c>
    </row>
    <row r="201" spans="1:4" x14ac:dyDescent="0.3">
      <c r="A201" t="s">
        <v>419</v>
      </c>
      <c r="B201">
        <f ca="1">SUM(OFFSET(Matrix!C3,-2,-2,2,2))</f>
        <v>12</v>
      </c>
      <c r="C201" t="s">
        <v>21</v>
      </c>
      <c r="D201" t="s">
        <v>420</v>
      </c>
    </row>
    <row r="202" spans="1:4" x14ac:dyDescent="0.3">
      <c r="A202" t="s">
        <v>421</v>
      </c>
      <c r="B202">
        <f ca="1">INDIRECT("Matrix!"&amp;"B2")</f>
        <v>5</v>
      </c>
      <c r="C202" t="s">
        <v>21</v>
      </c>
      <c r="D202" t="s">
        <v>422</v>
      </c>
    </row>
    <row r="203" spans="1:4" x14ac:dyDescent="0.3">
      <c r="A203" t="s">
        <v>423</v>
      </c>
      <c r="B203">
        <f>SUM(Inputs!A:A)</f>
        <v>70</v>
      </c>
      <c r="C203" t="s">
        <v>21</v>
      </c>
      <c r="D203" t="s">
        <v>424</v>
      </c>
    </row>
    <row r="204" spans="1:4" x14ac:dyDescent="0.3">
      <c r="A204" t="s">
        <v>425</v>
      </c>
      <c r="B204">
        <f>SUM(Matrix!1:1)</f>
        <v>6</v>
      </c>
      <c r="C204" t="s">
        <v>21</v>
      </c>
      <c r="D204" t="s">
        <v>426</v>
      </c>
    </row>
    <row r="205" spans="1:4" x14ac:dyDescent="0.3">
      <c r="A205" t="s">
        <v>427</v>
      </c>
      <c r="B205">
        <f>SUM((Matrix!A1:A2,Matrix!C1:C2))</f>
        <v>14</v>
      </c>
      <c r="C205" t="s">
        <v>21</v>
      </c>
      <c r="D205" t="s">
        <v>428</v>
      </c>
    </row>
    <row r="206" spans="1:4" x14ac:dyDescent="0.3">
      <c r="A206" t="s">
        <v>429</v>
      </c>
      <c r="B206">
        <f>SUM(Matrix!A1:C3 Matrix!B2:B3)</f>
        <v>13</v>
      </c>
      <c r="C206" t="s">
        <v>21</v>
      </c>
      <c r="D206" t="s">
        <v>430</v>
      </c>
    </row>
    <row r="207" spans="1:4" x14ac:dyDescent="0.3">
      <c r="A207" t="s">
        <v>431</v>
      </c>
      <c r="B207">
        <f>SUM(Jan:Mar!A1)</f>
        <v>60</v>
      </c>
      <c r="C207" t="s">
        <v>21</v>
      </c>
      <c r="D207" t="s">
        <v>432</v>
      </c>
    </row>
    <row r="208" spans="1:4" x14ac:dyDescent="0.3">
      <c r="A208" t="s">
        <v>433</v>
      </c>
      <c r="B208">
        <f>GlobalRate*100</f>
        <v>12.5</v>
      </c>
      <c r="C208" t="s">
        <v>21</v>
      </c>
      <c r="D208" t="s">
        <v>434</v>
      </c>
    </row>
    <row r="209" spans="1:4" x14ac:dyDescent="0.3">
      <c r="A209" t="s">
        <v>435</v>
      </c>
      <c r="B209">
        <f>SUM(Numbers)</f>
        <v>70</v>
      </c>
      <c r="C209" t="s">
        <v>21</v>
      </c>
      <c r="D209" t="s">
        <v>436</v>
      </c>
    </row>
    <row r="210" spans="1:4" x14ac:dyDescent="0.3">
      <c r="A210" t="s">
        <v>437</v>
      </c>
      <c r="B210">
        <f>Scoped!Rate*100</f>
        <v>20</v>
      </c>
      <c r="C210" t="s">
        <v>21</v>
      </c>
      <c r="D210" t="s">
        <v>438</v>
      </c>
    </row>
    <row r="211" spans="1:4" x14ac:dyDescent="0.3">
      <c r="A211" t="s">
        <v>439</v>
      </c>
      <c r="B211">
        <f>SUMIFS(Inputs!A1:A8,Inputs!C1:C8,"a~*b")</f>
        <v>4</v>
      </c>
      <c r="C211" t="s">
        <v>21</v>
      </c>
      <c r="D211" t="s">
        <v>440</v>
      </c>
    </row>
    <row r="212" spans="1:4" x14ac:dyDescent="0.3">
      <c r="A212" t="s">
        <v>441</v>
      </c>
      <c r="B212">
        <f>COUNTIF(Inputs!C1:C8,"A~?b")</f>
        <v>1</v>
      </c>
      <c r="C212" t="s">
        <v>21</v>
      </c>
      <c r="D212" t="s">
        <v>442</v>
      </c>
    </row>
    <row r="213" spans="1:4" x14ac:dyDescent="0.3">
      <c r="A213" t="s">
        <v>443</v>
      </c>
      <c r="B213">
        <f>COUNTIF(Inputs!C1:C8,"~~")</f>
        <v>0</v>
      </c>
      <c r="C213" t="s">
        <v>21</v>
      </c>
      <c r="D213" t="s">
        <v>444</v>
      </c>
    </row>
    <row r="214" spans="1:4" x14ac:dyDescent="0.3">
      <c r="A214" t="s">
        <v>445</v>
      </c>
      <c r="B214">
        <f>COUNTIF(Inputs!A1:A8,"&gt;=8")</f>
        <v>5</v>
      </c>
      <c r="C214" t="s">
        <v>21</v>
      </c>
      <c r="D214" t="s">
        <v>446</v>
      </c>
    </row>
    <row r="215" spans="1:4" x14ac:dyDescent="0.3">
      <c r="A215" t="s">
        <v>447</v>
      </c>
      <c r="B215">
        <f>COUNTIF(Inputs!D1:D8,"&lt;&gt;red")</f>
        <v>3</v>
      </c>
      <c r="C215" t="s">
        <v>21</v>
      </c>
      <c r="D215" t="s">
        <v>448</v>
      </c>
    </row>
    <row r="216" spans="1:4" x14ac:dyDescent="0.3">
      <c r="A216" t="s">
        <v>449</v>
      </c>
      <c r="B216">
        <f>COUNTIF(Inputs!B1:B8,"")</f>
        <v>2</v>
      </c>
      <c r="C216" t="s">
        <v>21</v>
      </c>
      <c r="D216" t="s">
        <v>450</v>
      </c>
    </row>
    <row r="217" spans="1:4" x14ac:dyDescent="0.3">
      <c r="A217" t="s">
        <v>451</v>
      </c>
      <c r="B217" t="e">
        <f>SUMIFS(Inputs!A1:A8,Inputs!C1:C7,"a*")</f>
        <v>#VALUE!</v>
      </c>
      <c r="C217" t="s">
        <v>21</v>
      </c>
      <c r="D217" t="s">
        <v>452</v>
      </c>
    </row>
    <row r="218" spans="1:4" x14ac:dyDescent="0.3">
      <c r="A218" t="s">
        <v>453</v>
      </c>
      <c r="B218" t="e">
        <f>AVERAGEIF(Inputs!C1:C8,"not-there",Inputs!A1:A8)</f>
        <v>#DIV/0!</v>
      </c>
      <c r="C218" t="s">
        <v>21</v>
      </c>
      <c r="D218" t="s">
        <v>454</v>
      </c>
    </row>
    <row r="219" spans="1:4" x14ac:dyDescent="0.3">
      <c r="A219" t="s">
        <v>455</v>
      </c>
      <c r="B219" t="e">
        <f>SUMPRODUCT(Inputs!A1:A8,Inputs!E1:E7)</f>
        <v>#VALUE!</v>
      </c>
      <c r="C219" t="s">
        <v>21</v>
      </c>
      <c r="D219" t="s">
        <v>456</v>
      </c>
    </row>
    <row r="220" spans="1:4" x14ac:dyDescent="0.3">
      <c r="A220" t="s">
        <v>457</v>
      </c>
      <c r="B220" t="e">
        <f>_xlfn.STDEV.S(7)</f>
        <v>#DIV/0!</v>
      </c>
      <c r="C220" t="s">
        <v>21</v>
      </c>
      <c r="D220" t="s">
        <v>458</v>
      </c>
    </row>
    <row r="221" spans="1:4" x14ac:dyDescent="0.3">
      <c r="A221" t="s">
        <v>459</v>
      </c>
      <c r="B221">
        <f>_xlfn.VAR.S(Stability!A1:A4)</f>
        <v>1.6666666666666667</v>
      </c>
      <c r="C221" t="s">
        <v>21</v>
      </c>
      <c r="D221" t="s">
        <v>460</v>
      </c>
    </row>
    <row r="222" spans="1:4" x14ac:dyDescent="0.3">
      <c r="A222" t="s">
        <v>461</v>
      </c>
      <c r="B222" t="e">
        <f>_xlfn.MODE.SNGL(Matrix!A1:C3)</f>
        <v>#N/A</v>
      </c>
      <c r="C222" t="s">
        <v>21</v>
      </c>
      <c r="D222" t="s">
        <v>462</v>
      </c>
    </row>
    <row r="223" spans="1:4" x14ac:dyDescent="0.3">
      <c r="A223" t="s">
        <v>463</v>
      </c>
      <c r="B223">
        <f>_xlfn.PERCENTILE.INC(Inputs!A1:A8,0)</f>
        <v>2</v>
      </c>
      <c r="C223" t="s">
        <v>21</v>
      </c>
      <c r="D223" t="s">
        <v>464</v>
      </c>
    </row>
    <row r="224" spans="1:4" x14ac:dyDescent="0.3">
      <c r="A224" t="s">
        <v>465</v>
      </c>
      <c r="B224">
        <f>_xlfn.PERCENTILE.INC(Inputs!A1:A8,1)</f>
        <v>16</v>
      </c>
      <c r="C224" t="s">
        <v>21</v>
      </c>
      <c r="D224" t="s">
        <v>466</v>
      </c>
    </row>
    <row r="225" spans="1:4 16383:16384" x14ac:dyDescent="0.3">
      <c r="A225" t="s">
        <v>467</v>
      </c>
      <c r="B225">
        <f>_xlfn.RANK.EQ(4,Inputs!A1:A8,0)</f>
        <v>6</v>
      </c>
      <c r="C225" t="s">
        <v>21</v>
      </c>
      <c r="D225" t="s">
        <v>468</v>
      </c>
    </row>
    <row r="226" spans="1:4 16383:16384" x14ac:dyDescent="0.3">
      <c r="A226" t="s">
        <v>469</v>
      </c>
      <c r="B226" t="str">
        <f>TEXT(0.125,"0.00%")</f>
        <v>12.50%</v>
      </c>
      <c r="C226" t="s">
        <v>21</v>
      </c>
      <c r="D226" t="s">
        <v>470</v>
      </c>
      <c r="XFC226" s="5"/>
      <c r="XFD226" t="str">
        <f>TEXT(0.125,"[$-409]0.00%")</f>
        <v>12.50%</v>
      </c>
    </row>
    <row r="227" spans="1:4 16383:16384" x14ac:dyDescent="0.3">
      <c r="A227" t="s">
        <v>471</v>
      </c>
      <c r="B227" t="str">
        <f>TEXT(-1234.5,"$#,##0.00;($#,##0.00)")</f>
        <v>($1,234.50)</v>
      </c>
      <c r="C227" t="s">
        <v>21</v>
      </c>
      <c r="D227" t="s">
        <v>472</v>
      </c>
    </row>
    <row r="228" spans="1:4 16383:16384" x14ac:dyDescent="0.3">
      <c r="A228" t="s">
        <v>473</v>
      </c>
      <c r="B228" t="str">
        <f>TEXT(DATE(2024,1,31),"yyyy-mm-dd")</f>
        <v>yyyy-01-dd</v>
      </c>
      <c r="C228" t="s">
        <v>21</v>
      </c>
      <c r="D228" t="s">
        <v>474</v>
      </c>
      <c r="XFC228" s="6"/>
      <c r="XFD228" t="str">
        <f>TEXT(DATE(2024,1,31),"[$-409]aaaa-mm-jj")</f>
        <v>2024-01-31</v>
      </c>
    </row>
    <row r="229" spans="1:4 16383:16384" x14ac:dyDescent="0.3">
      <c r="A229" t="s">
        <v>475</v>
      </c>
      <c r="B229" t="str">
        <f>SUBSTITUTE("a""b","""","!")</f>
        <v>a!b</v>
      </c>
      <c r="C229" t="s">
        <v>21</v>
      </c>
      <c r="D229" t="s">
        <v>476</v>
      </c>
    </row>
    <row r="230" spans="1:4 16383:16384" x14ac:dyDescent="0.3">
      <c r="A230" t="s">
        <v>477</v>
      </c>
      <c r="B230">
        <f>VALUE("12.5%")</f>
        <v>0.125</v>
      </c>
      <c r="C230" t="s">
        <v>21</v>
      </c>
      <c r="D230" t="s">
        <v>478</v>
      </c>
    </row>
    <row r="231" spans="1:4 16383:16384" x14ac:dyDescent="0.3">
      <c r="A231" t="s">
        <v>479</v>
      </c>
      <c r="B231">
        <f>VALUE("1,234.50")</f>
        <v>1234.5</v>
      </c>
      <c r="C231" t="s">
        <v>21</v>
      </c>
      <c r="D231" t="s">
        <v>480</v>
      </c>
    </row>
    <row r="232" spans="1:4 16383:16384" x14ac:dyDescent="0.3">
      <c r="A232" t="s">
        <v>481</v>
      </c>
      <c r="B232" t="e">
        <f>REPT("x",32768)</f>
        <v>#VALUE!</v>
      </c>
      <c r="C232" t="s">
        <v>21</v>
      </c>
      <c r="D232" t="s">
        <v>482</v>
      </c>
    </row>
    <row r="233" spans="1:4 16383:16384" x14ac:dyDescent="0.3">
      <c r="A233" t="s">
        <v>483</v>
      </c>
      <c r="B233">
        <f>PMT(0,4,100,0,0)</f>
        <v>-25</v>
      </c>
      <c r="C233" t="s">
        <v>21</v>
      </c>
      <c r="D233" t="s">
        <v>484</v>
      </c>
    </row>
    <row r="234" spans="1:4 16383:16384" x14ac:dyDescent="0.3">
      <c r="A234" t="s">
        <v>485</v>
      </c>
      <c r="B234">
        <f>PMT(0.01,12,1000,0,1)</f>
        <v>-87.969097701328394</v>
      </c>
      <c r="C234" t="s">
        <v>21</v>
      </c>
      <c r="D234" t="s">
        <v>486</v>
      </c>
    </row>
    <row r="235" spans="1:4 16383:16384" x14ac:dyDescent="0.3">
      <c r="A235" t="s">
        <v>487</v>
      </c>
      <c r="B235">
        <f>PV(0,4,-25,0,0)</f>
        <v>100</v>
      </c>
      <c r="C235" t="s">
        <v>21</v>
      </c>
      <c r="D235" t="s">
        <v>488</v>
      </c>
    </row>
    <row r="236" spans="1:4 16383:16384" x14ac:dyDescent="0.3">
      <c r="A236" t="s">
        <v>489</v>
      </c>
      <c r="B236">
        <f>FV(0,4,-25,-100,1)</f>
        <v>200</v>
      </c>
      <c r="C236" t="s">
        <v>21</v>
      </c>
      <c r="D236" t="s">
        <v>490</v>
      </c>
    </row>
    <row r="237" spans="1:4 16383:16384" x14ac:dyDescent="0.3">
      <c r="A237" t="s">
        <v>491</v>
      </c>
      <c r="B237">
        <f>NPV(0,Flows!A2:A4)+Flows!A1</f>
        <v>200</v>
      </c>
      <c r="C237" t="s">
        <v>21</v>
      </c>
      <c r="D237" t="s">
        <v>492</v>
      </c>
    </row>
    <row r="238" spans="1:4 16383:16384" x14ac:dyDescent="0.3">
      <c r="A238" t="s">
        <v>493</v>
      </c>
      <c r="B238">
        <f>DATE(1900,2,29)</f>
        <v>60</v>
      </c>
      <c r="C238" t="s">
        <v>21</v>
      </c>
      <c r="D238" t="s">
        <v>494</v>
      </c>
    </row>
    <row r="239" spans="1:4 16383:16384" x14ac:dyDescent="0.3">
      <c r="A239" t="s">
        <v>495</v>
      </c>
      <c r="B239">
        <f>DAY(60)</f>
        <v>29</v>
      </c>
      <c r="C239" t="s">
        <v>21</v>
      </c>
      <c r="D239" t="s">
        <v>496</v>
      </c>
    </row>
    <row r="240" spans="1:4 16383:16384" x14ac:dyDescent="0.3">
      <c r="A240" t="s">
        <v>497</v>
      </c>
      <c r="B240">
        <f>MONTH(60)</f>
        <v>2</v>
      </c>
      <c r="C240" t="s">
        <v>21</v>
      </c>
      <c r="D240" t="s">
        <v>498</v>
      </c>
    </row>
    <row r="241" spans="1:4" x14ac:dyDescent="0.3">
      <c r="A241" t="s">
        <v>499</v>
      </c>
      <c r="B241">
        <f>YEAR(60)</f>
        <v>1900</v>
      </c>
      <c r="C241" t="s">
        <v>21</v>
      </c>
      <c r="D241" t="s">
        <v>500</v>
      </c>
    </row>
    <row r="242" spans="1:4" x14ac:dyDescent="0.3">
      <c r="A242" t="s">
        <v>501</v>
      </c>
      <c r="B242">
        <f>WEEKDAY(61)</f>
        <v>5</v>
      </c>
      <c r="C242" t="s">
        <v>21</v>
      </c>
      <c r="D242" t="s">
        <v>301</v>
      </c>
    </row>
    <row r="243" spans="1:4" x14ac:dyDescent="0.3">
      <c r="A243" t="s">
        <v>502</v>
      </c>
      <c r="B243">
        <f>WEEKDAY(61,2)</f>
        <v>4</v>
      </c>
      <c r="C243" t="s">
        <v>21</v>
      </c>
      <c r="D243" t="s">
        <v>503</v>
      </c>
    </row>
    <row r="244" spans="1:4" x14ac:dyDescent="0.3">
      <c r="A244" t="s">
        <v>504</v>
      </c>
      <c r="B244">
        <f>DATE(2024,14,0)</f>
        <v>45688</v>
      </c>
      <c r="C244" t="s">
        <v>21</v>
      </c>
      <c r="D244" t="s">
        <v>505</v>
      </c>
    </row>
    <row r="245" spans="1:4" x14ac:dyDescent="0.3">
      <c r="A245" t="s">
        <v>506</v>
      </c>
      <c r="B245">
        <f>DATE(2024,3,-1)</f>
        <v>45350</v>
      </c>
      <c r="C245" t="s">
        <v>21</v>
      </c>
      <c r="D245" t="s">
        <v>507</v>
      </c>
    </row>
    <row r="246" spans="1:4" x14ac:dyDescent="0.3">
      <c r="A246" t="s">
        <v>508</v>
      </c>
      <c r="B246">
        <f>DATE(24,1,1)</f>
        <v>8767</v>
      </c>
      <c r="C246" t="s">
        <v>21</v>
      </c>
      <c r="D246" t="s">
        <v>509</v>
      </c>
    </row>
    <row r="247" spans="1:4" x14ac:dyDescent="0.3">
      <c r="A247" t="s">
        <v>510</v>
      </c>
      <c r="B247">
        <f>DATE(1904,1,1)</f>
        <v>1462</v>
      </c>
      <c r="C247" t="s">
        <v>21</v>
      </c>
      <c r="D247" t="s">
        <v>511</v>
      </c>
    </row>
    <row r="248" spans="1:4" x14ac:dyDescent="0.3">
      <c r="A248" t="s">
        <v>512</v>
      </c>
      <c r="B248">
        <f>EDATE(DATE(2024,3,31),-1)</f>
        <v>45351</v>
      </c>
      <c r="C248" t="s">
        <v>21</v>
      </c>
      <c r="D248" t="s">
        <v>513</v>
      </c>
    </row>
    <row r="249" spans="1:4" x14ac:dyDescent="0.3">
      <c r="A249" t="s">
        <v>514</v>
      </c>
      <c r="B249">
        <f>EOMONTH(DATE(2024,1,1),-1)</f>
        <v>45291</v>
      </c>
      <c r="C249" t="s">
        <v>21</v>
      </c>
      <c r="D249" t="s">
        <v>515</v>
      </c>
    </row>
    <row r="250" spans="1:4" x14ac:dyDescent="0.3">
      <c r="A250" t="s">
        <v>516</v>
      </c>
      <c r="B250">
        <f>Inputs!F1+0</f>
        <v>59</v>
      </c>
      <c r="C250" t="s">
        <v>21</v>
      </c>
      <c r="D250" t="s">
        <v>517</v>
      </c>
    </row>
    <row r="251" spans="1:4" x14ac:dyDescent="0.3">
      <c r="A251" t="s">
        <v>518</v>
      </c>
      <c r="B251">
        <f>Inputs!F2+0</f>
        <v>60</v>
      </c>
      <c r="C251" t="s">
        <v>21</v>
      </c>
      <c r="D251" t="s">
        <v>519</v>
      </c>
    </row>
    <row r="252" spans="1:4" x14ac:dyDescent="0.3">
      <c r="A252" t="s">
        <v>520</v>
      </c>
      <c r="B252">
        <f>Inputs!F3+0</f>
        <v>61</v>
      </c>
      <c r="C252" t="s">
        <v>21</v>
      </c>
      <c r="D252" t="s">
        <v>521</v>
      </c>
    </row>
    <row r="253" spans="1:4" x14ac:dyDescent="0.3">
      <c r="A253" t="s">
        <v>522</v>
      </c>
      <c r="B253">
        <f>DAY(Inputs!F2)</f>
        <v>29</v>
      </c>
      <c r="C253" t="s">
        <v>21</v>
      </c>
      <c r="D253" t="s">
        <v>523</v>
      </c>
    </row>
    <row r="254" spans="1:4" x14ac:dyDescent="0.3">
      <c r="A254" t="s">
        <v>524</v>
      </c>
      <c r="B254">
        <f>Inputs!F4+0</f>
        <v>0.123456789012345</v>
      </c>
      <c r="C254" t="s">
        <v>21</v>
      </c>
      <c r="D254" t="s">
        <v>525</v>
      </c>
    </row>
    <row r="255" spans="1:4" x14ac:dyDescent="0.3">
      <c r="A255" t="s">
        <v>526</v>
      </c>
      <c r="B255">
        <f>Inputs!F4*86400</f>
        <v>10666.666570666608</v>
      </c>
      <c r="C255" t="s">
        <v>21</v>
      </c>
      <c r="D255" t="s">
        <v>527</v>
      </c>
    </row>
    <row r="256" spans="1:4" x14ac:dyDescent="0.3">
      <c r="A256" t="s">
        <v>528</v>
      </c>
      <c r="B256">
        <f>Inputs!F5+0</f>
        <v>45292.123456788999</v>
      </c>
      <c r="C256" t="s">
        <v>21</v>
      </c>
      <c r="D256" t="s">
        <v>529</v>
      </c>
    </row>
    <row r="257" spans="1:4" x14ac:dyDescent="0.3">
      <c r="A257" t="s">
        <v>530</v>
      </c>
      <c r="B257" t="e">
        <f>TIME(-1,0,0)</f>
        <v>#NUM!</v>
      </c>
      <c r="C257" t="s">
        <v>21</v>
      </c>
      <c r="D257" t="s">
        <v>531</v>
      </c>
    </row>
    <row r="258" spans="1:4" x14ac:dyDescent="0.3">
      <c r="A258" t="s">
        <v>532</v>
      </c>
      <c r="B258">
        <f>TIME(1,2,3)</f>
        <v>4.3090277777777776E-2</v>
      </c>
      <c r="C258" t="s">
        <v>21</v>
      </c>
      <c r="D258" t="s">
        <v>533</v>
      </c>
    </row>
    <row r="259" spans="1:4" x14ac:dyDescent="0.3">
      <c r="A259" t="s">
        <v>534</v>
      </c>
      <c r="B259">
        <f>SUBTOTAL(1,Hidden!A1:A8)</f>
        <v>3</v>
      </c>
      <c r="C259" t="s">
        <v>21</v>
      </c>
      <c r="D259" t="s">
        <v>535</v>
      </c>
    </row>
    <row r="260" spans="1:4" x14ac:dyDescent="0.3">
      <c r="A260" t="s">
        <v>536</v>
      </c>
      <c r="B260">
        <f>SUBTOTAL(2,Hidden!A1:A8)</f>
        <v>5</v>
      </c>
      <c r="C260" t="s">
        <v>21</v>
      </c>
      <c r="D260" t="s">
        <v>537</v>
      </c>
    </row>
    <row r="261" spans="1:4" x14ac:dyDescent="0.3">
      <c r="A261" t="s">
        <v>538</v>
      </c>
      <c r="B261">
        <f>SUBTOTAL(3,Hidden!A1:A8)</f>
        <v>6</v>
      </c>
      <c r="C261" t="s">
        <v>21</v>
      </c>
      <c r="D261" t="s">
        <v>539</v>
      </c>
    </row>
    <row r="262" spans="1:4" x14ac:dyDescent="0.3">
      <c r="A262" t="s">
        <v>540</v>
      </c>
      <c r="B262">
        <f>SUBTOTAL(4,Hidden!A1:A8)</f>
        <v>5</v>
      </c>
      <c r="C262" t="s">
        <v>21</v>
      </c>
      <c r="D262" t="s">
        <v>541</v>
      </c>
    </row>
    <row r="263" spans="1:4" x14ac:dyDescent="0.3">
      <c r="A263" t="s">
        <v>542</v>
      </c>
      <c r="B263">
        <f>SUBTOTAL(5,Hidden!A1:A8)</f>
        <v>1</v>
      </c>
      <c r="C263" t="s">
        <v>21</v>
      </c>
      <c r="D263" t="s">
        <v>543</v>
      </c>
    </row>
    <row r="264" spans="1:4" x14ac:dyDescent="0.3">
      <c r="A264" t="s">
        <v>544</v>
      </c>
      <c r="B264">
        <f>SUBTOTAL(6,Hidden!A1:A8)</f>
        <v>120</v>
      </c>
      <c r="C264" t="s">
        <v>21</v>
      </c>
      <c r="D264" t="s">
        <v>545</v>
      </c>
    </row>
    <row r="265" spans="1:4" x14ac:dyDescent="0.3">
      <c r="A265" t="s">
        <v>546</v>
      </c>
      <c r="B265">
        <f>SUBTOTAL(7,Hidden!A1:A8)</f>
        <v>1.5811388300841898</v>
      </c>
      <c r="C265" t="s">
        <v>21</v>
      </c>
      <c r="D265" t="s">
        <v>547</v>
      </c>
    </row>
    <row r="266" spans="1:4" x14ac:dyDescent="0.3">
      <c r="A266" t="s">
        <v>548</v>
      </c>
      <c r="B266">
        <f>SUBTOTAL(8,Hidden!A1:A8)</f>
        <v>1.4142135623730951</v>
      </c>
      <c r="C266" t="s">
        <v>21</v>
      </c>
      <c r="D266" t="s">
        <v>549</v>
      </c>
    </row>
    <row r="267" spans="1:4" x14ac:dyDescent="0.3">
      <c r="A267" t="s">
        <v>550</v>
      </c>
      <c r="B267">
        <f>SUBTOTAL(9,Hidden!A1:A8)</f>
        <v>15</v>
      </c>
      <c r="C267" t="s">
        <v>21</v>
      </c>
      <c r="D267" t="s">
        <v>95</v>
      </c>
    </row>
    <row r="268" spans="1:4" x14ac:dyDescent="0.3">
      <c r="A268" t="s">
        <v>551</v>
      </c>
      <c r="B268">
        <f>SUBTOTAL(10,Hidden!A1:A8)</f>
        <v>2.5</v>
      </c>
      <c r="C268" t="s">
        <v>21</v>
      </c>
      <c r="D268" t="s">
        <v>552</v>
      </c>
    </row>
    <row r="269" spans="1:4" x14ac:dyDescent="0.3">
      <c r="A269" t="s">
        <v>553</v>
      </c>
      <c r="B269">
        <f>SUBTOTAL(11,Hidden!A1:A8)</f>
        <v>2</v>
      </c>
      <c r="C269" t="s">
        <v>21</v>
      </c>
      <c r="D269" t="s">
        <v>554</v>
      </c>
    </row>
    <row r="270" spans="1:4" x14ac:dyDescent="0.3">
      <c r="A270" t="s">
        <v>555</v>
      </c>
      <c r="B270">
        <f>SUBTOTAL(101,Hidden!A1:A8)</f>
        <v>2.6666666666666665</v>
      </c>
      <c r="C270" t="s">
        <v>21</v>
      </c>
      <c r="D270" t="s">
        <v>556</v>
      </c>
    </row>
    <row r="271" spans="1:4" x14ac:dyDescent="0.3">
      <c r="A271" t="s">
        <v>557</v>
      </c>
      <c r="B271">
        <f>SUBTOTAL(102,Hidden!A1:A8)</f>
        <v>3</v>
      </c>
      <c r="C271" t="s">
        <v>21</v>
      </c>
      <c r="D271" t="s">
        <v>558</v>
      </c>
    </row>
    <row r="272" spans="1:4" x14ac:dyDescent="0.3">
      <c r="A272" t="s">
        <v>559</v>
      </c>
      <c r="B272">
        <f>SUBTOTAL(103,Hidden!A1:A8)</f>
        <v>4</v>
      </c>
      <c r="C272" t="s">
        <v>21</v>
      </c>
      <c r="D272" t="s">
        <v>560</v>
      </c>
    </row>
    <row r="273" spans="1:4" x14ac:dyDescent="0.3">
      <c r="A273" t="s">
        <v>561</v>
      </c>
      <c r="B273">
        <f>SUBTOTAL(104,Hidden!A1:A8)</f>
        <v>4</v>
      </c>
      <c r="C273" t="s">
        <v>21</v>
      </c>
      <c r="D273" t="s">
        <v>562</v>
      </c>
    </row>
    <row r="274" spans="1:4" x14ac:dyDescent="0.3">
      <c r="A274" t="s">
        <v>563</v>
      </c>
      <c r="B274">
        <f>SUBTOTAL(105,Hidden!A1:A8)</f>
        <v>1</v>
      </c>
      <c r="C274" t="s">
        <v>21</v>
      </c>
      <c r="D274" t="s">
        <v>564</v>
      </c>
    </row>
    <row r="275" spans="1:4" x14ac:dyDescent="0.3">
      <c r="A275" t="s">
        <v>565</v>
      </c>
      <c r="B275">
        <f>SUBTOTAL(106,Hidden!A1:A8)</f>
        <v>12</v>
      </c>
      <c r="C275" t="s">
        <v>21</v>
      </c>
      <c r="D275" t="s">
        <v>566</v>
      </c>
    </row>
    <row r="276" spans="1:4" x14ac:dyDescent="0.3">
      <c r="A276" t="s">
        <v>567</v>
      </c>
      <c r="B276">
        <f>SUBTOTAL(107,Hidden!A1:A8)</f>
        <v>1.5275252316519468</v>
      </c>
      <c r="C276" t="s">
        <v>21</v>
      </c>
      <c r="D276" t="s">
        <v>568</v>
      </c>
    </row>
    <row r="277" spans="1:4" x14ac:dyDescent="0.3">
      <c r="A277" t="s">
        <v>569</v>
      </c>
      <c r="B277">
        <f>SUBTOTAL(108,Hidden!A1:A8)</f>
        <v>1.247219128924647</v>
      </c>
      <c r="C277" t="s">
        <v>21</v>
      </c>
      <c r="D277" t="s">
        <v>570</v>
      </c>
    </row>
    <row r="278" spans="1:4" x14ac:dyDescent="0.3">
      <c r="A278" t="s">
        <v>571</v>
      </c>
      <c r="B278">
        <f>SUBTOTAL(109,Hidden!A1:A8)</f>
        <v>8</v>
      </c>
      <c r="C278" t="s">
        <v>21</v>
      </c>
      <c r="D278" t="s">
        <v>572</v>
      </c>
    </row>
    <row r="279" spans="1:4" x14ac:dyDescent="0.3">
      <c r="A279" t="s">
        <v>573</v>
      </c>
      <c r="B279">
        <f>SUBTOTAL(110,Hidden!A1:A8)</f>
        <v>2.3333333333333339</v>
      </c>
      <c r="C279" t="s">
        <v>21</v>
      </c>
      <c r="D279" t="s">
        <v>574</v>
      </c>
    </row>
    <row r="280" spans="1:4" x14ac:dyDescent="0.3">
      <c r="A280" t="s">
        <v>575</v>
      </c>
      <c r="B280">
        <f>SUBTOTAL(111,Hidden!A1:A8)</f>
        <v>1.5555555555555556</v>
      </c>
      <c r="C280" t="s">
        <v>21</v>
      </c>
      <c r="D280" t="s">
        <v>576</v>
      </c>
    </row>
    <row r="281" spans="1:4" x14ac:dyDescent="0.3">
      <c r="A281" t="s">
        <v>577</v>
      </c>
      <c r="B281">
        <f>MOD(-7,-3)</f>
        <v>-1</v>
      </c>
      <c r="C281" t="s">
        <v>21</v>
      </c>
      <c r="D281" t="s">
        <v>578</v>
      </c>
    </row>
    <row r="282" spans="1:4" x14ac:dyDescent="0.3">
      <c r="A282" t="s">
        <v>579</v>
      </c>
      <c r="B282">
        <f>MOD(-7,3)</f>
        <v>2</v>
      </c>
      <c r="C282" t="s">
        <v>21</v>
      </c>
      <c r="D282" t="s">
        <v>62</v>
      </c>
    </row>
    <row r="283" spans="1:4" x14ac:dyDescent="0.3">
      <c r="A283" t="s">
        <v>580</v>
      </c>
      <c r="B283">
        <f>MOD(7,-3)</f>
        <v>-2</v>
      </c>
      <c r="C283" t="s">
        <v>21</v>
      </c>
      <c r="D283" t="s">
        <v>581</v>
      </c>
    </row>
    <row r="284" spans="1:4" x14ac:dyDescent="0.3">
      <c r="A284" t="s">
        <v>582</v>
      </c>
      <c r="B284">
        <f>MOD(7,3)</f>
        <v>1</v>
      </c>
      <c r="C284" t="s">
        <v>21</v>
      </c>
      <c r="D284" t="s">
        <v>583</v>
      </c>
    </row>
    <row r="285" spans="1:4" x14ac:dyDescent="0.3">
      <c r="A285" t="s">
        <v>584</v>
      </c>
      <c r="B285" t="e">
        <f>MOD(7,0)</f>
        <v>#DIV/0!</v>
      </c>
      <c r="C285" t="s">
        <v>21</v>
      </c>
      <c r="D285" t="s">
        <v>585</v>
      </c>
    </row>
    <row r="286" spans="1:4" x14ac:dyDescent="0.3">
      <c r="A286" t="s">
        <v>586</v>
      </c>
      <c r="B286">
        <f>ERROR.TYPE(Errors!A1)</f>
        <v>1</v>
      </c>
      <c r="C286" t="s">
        <v>21</v>
      </c>
      <c r="D286" t="s">
        <v>587</v>
      </c>
    </row>
    <row r="287" spans="1:4" x14ac:dyDescent="0.3">
      <c r="A287" t="s">
        <v>588</v>
      </c>
      <c r="B287">
        <f>ERROR.TYPE(Errors!A2)</f>
        <v>2</v>
      </c>
      <c r="C287" t="s">
        <v>21</v>
      </c>
      <c r="D287" t="s">
        <v>589</v>
      </c>
    </row>
    <row r="288" spans="1:4" x14ac:dyDescent="0.3">
      <c r="A288" t="s">
        <v>590</v>
      </c>
      <c r="B288">
        <f>ERROR.TYPE(Errors!A3)</f>
        <v>3</v>
      </c>
      <c r="C288" t="s">
        <v>21</v>
      </c>
      <c r="D288" t="s">
        <v>591</v>
      </c>
    </row>
    <row r="289" spans="1:4 16383:16384" x14ac:dyDescent="0.3">
      <c r="A289" t="s">
        <v>592</v>
      </c>
      <c r="B289">
        <f>ERROR.TYPE(Errors!A4)</f>
        <v>4</v>
      </c>
      <c r="C289" t="s">
        <v>21</v>
      </c>
      <c r="D289" t="s">
        <v>593</v>
      </c>
    </row>
    <row r="290" spans="1:4 16383:16384" x14ac:dyDescent="0.3">
      <c r="A290" t="s">
        <v>594</v>
      </c>
      <c r="B290">
        <f>ERROR.TYPE(Errors!A5)</f>
        <v>5</v>
      </c>
      <c r="C290" t="s">
        <v>21</v>
      </c>
      <c r="D290" t="s">
        <v>595</v>
      </c>
    </row>
    <row r="291" spans="1:4 16383:16384" x14ac:dyDescent="0.3">
      <c r="A291" t="s">
        <v>596</v>
      </c>
      <c r="B291">
        <f>ERROR.TYPE(Errors!A6)</f>
        <v>6</v>
      </c>
      <c r="C291" t="s">
        <v>21</v>
      </c>
      <c r="D291" t="s">
        <v>597</v>
      </c>
    </row>
    <row r="292" spans="1:4 16383:16384" x14ac:dyDescent="0.3">
      <c r="A292" t="s">
        <v>598</v>
      </c>
      <c r="B292">
        <f>ERROR.TYPE(Errors!A7)</f>
        <v>7</v>
      </c>
      <c r="C292" t="s">
        <v>21</v>
      </c>
      <c r="D292" t="s">
        <v>599</v>
      </c>
    </row>
    <row r="293" spans="1:4 16383:16384" x14ac:dyDescent="0.3">
      <c r="A293" t="s">
        <v>600</v>
      </c>
      <c r="B293">
        <f>ERROR.TYPE(Errors!A8)</f>
        <v>8</v>
      </c>
      <c r="C293" t="s">
        <v>21</v>
      </c>
      <c r="D293" t="s">
        <v>601</v>
      </c>
    </row>
    <row r="294" spans="1:4 16383:16384" x14ac:dyDescent="0.3">
      <c r="A294" t="s">
        <v>602</v>
      </c>
      <c r="B294">
        <f>Rate*100</f>
        <v>10</v>
      </c>
      <c r="C294" t="s">
        <v>21</v>
      </c>
      <c r="D294" t="s">
        <v>603</v>
      </c>
    </row>
    <row r="295" spans="1:4 16383:16384" x14ac:dyDescent="0.3">
      <c r="A295" t="s">
        <v>604</v>
      </c>
      <c r="B295">
        <f ca="1">RANDBETWEEN(7,7)</f>
        <v>7</v>
      </c>
      <c r="C295" t="s">
        <v>21</v>
      </c>
      <c r="D295" t="s">
        <v>605</v>
      </c>
    </row>
    <row r="296" spans="1:4 16383:16384" x14ac:dyDescent="0.3">
      <c r="A296" t="s">
        <v>606</v>
      </c>
      <c r="B296">
        <f ca="1">NOW()-TODAY()</f>
        <v>0.16303483796218643</v>
      </c>
      <c r="C296" t="s">
        <v>78</v>
      </c>
      <c r="D296" t="s">
        <v>607</v>
      </c>
    </row>
    <row r="297" spans="1:4 16383:16384" x14ac:dyDescent="0.3">
      <c r="A297" t="s">
        <v>608</v>
      </c>
      <c r="B297">
        <f>LEN("A😀Z")</f>
        <v>4</v>
      </c>
      <c r="C297" t="s">
        <v>609</v>
      </c>
      <c r="D297" t="s">
        <v>610</v>
      </c>
    </row>
    <row r="298" spans="1:4 16383:16384" x14ac:dyDescent="0.3">
      <c r="A298" t="s">
        <v>611</v>
      </c>
      <c r="B298" t="str">
        <f>TEXT(DATE(2024,1,1),"dddd, mmmm d, yyyy")</f>
        <v>dddd, janvier d, yyyy</v>
      </c>
      <c r="C298" t="s">
        <v>609</v>
      </c>
      <c r="D298" t="s">
        <v>612</v>
      </c>
      <c r="XFC298" s="7"/>
      <c r="XFD298" t="str">
        <f>TEXT(DATE(2024,1,1),"[$-409]jjjj, mmmm j, aaaa")</f>
        <v>Monday, January 1, 2024</v>
      </c>
    </row>
    <row r="299" spans="1:4 16383:16384" x14ac:dyDescent="0.3">
      <c r="A299" t="s">
        <v>613</v>
      </c>
      <c r="B299">
        <f>LEN("A😀Z")</f>
        <v>4</v>
      </c>
      <c r="C299" t="s">
        <v>21</v>
      </c>
      <c r="D299" t="s">
        <v>610</v>
      </c>
    </row>
    <row r="300" spans="1:4 16383:16384" x14ac:dyDescent="0.3">
      <c r="A300" t="s">
        <v>614</v>
      </c>
      <c r="B300" t="str">
        <f>MID("A😀Z",2,2)</f>
        <v>😀</v>
      </c>
      <c r="C300" t="s">
        <v>21</v>
      </c>
      <c r="D300" t="s">
        <v>615</v>
      </c>
    </row>
    <row r="301" spans="1:4 16383:16384" x14ac:dyDescent="0.3">
      <c r="A301" t="s">
        <v>616</v>
      </c>
      <c r="B301">
        <f>FIND("Z","A😀Z")</f>
        <v>4</v>
      </c>
      <c r="C301" t="s">
        <v>21</v>
      </c>
      <c r="D301" t="s">
        <v>617</v>
      </c>
    </row>
    <row r="302" spans="1:4 16383:16384" x14ac:dyDescent="0.3">
      <c r="A302" t="s">
        <v>618</v>
      </c>
      <c r="B302">
        <f>SEARCH("z","A😀Z")</f>
        <v>4</v>
      </c>
      <c r="C302" t="s">
        <v>21</v>
      </c>
      <c r="D302" t="s">
        <v>619</v>
      </c>
    </row>
    <row r="303" spans="1:4 16383:16384" x14ac:dyDescent="0.3">
      <c r="A303" t="s">
        <v>620</v>
      </c>
      <c r="B303" t="str">
        <f>REPLACE("A😀Z",2,2,"X")</f>
        <v>AXZ</v>
      </c>
      <c r="C303" t="s">
        <v>21</v>
      </c>
      <c r="D303" t="s">
        <v>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622</v>
      </c>
      <c r="B2">
        <f>Rate*100</f>
        <v>20</v>
      </c>
      <c r="C2" t="s">
        <v>21</v>
      </c>
      <c r="D2" t="s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Inputs</vt:lpstr>
      <vt:lpstr>Lookup</vt:lpstr>
      <vt:lpstr>Matrix</vt:lpstr>
      <vt:lpstr>Hidden</vt:lpstr>
      <vt:lpstr>Flows</vt:lpstr>
      <vt:lpstr>Errors</vt:lpstr>
      <vt:lpstr>Stability</vt:lpstr>
      <vt:lpstr>Jan</vt:lpstr>
      <vt:lpstr>Feb</vt:lpstr>
      <vt:lpstr>Mar</vt:lpstr>
      <vt:lpstr>Cases</vt:lpstr>
      <vt:lpstr>Scoped</vt:lpstr>
      <vt:lpstr>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yggdryl local P5 input builder</dc:creator>
  <cp:lastModifiedBy>Nicolas Fillot</cp:lastModifiedBy>
  <dcterms:created xsi:type="dcterms:W3CDTF">2026-10-01T00:00:00Z</dcterms:created>
  <dcterms:modified xsi:type="dcterms:W3CDTF">2026-10-02T01:54:46Z</dcterms:modified>
</cp:coreProperties>
</file>