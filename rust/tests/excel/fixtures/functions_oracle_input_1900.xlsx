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okup" sheetId="2" state="visible" r:id="rId2"/>
    <sheet name="Matrix" sheetId="3" state="visible" r:id="rId3"/>
    <sheet name="Hidden" sheetId="4" state="visible" r:id="rId4"/>
    <sheet name="Flows" sheetId="5" state="visible" r:id="rId5"/>
    <sheet name="Errors" sheetId="6" state="visible" r:id="rId6"/>
    <sheet name="Stability" sheetId="7" state="visible" r:id="rId7"/>
    <sheet name="Jan" sheetId="8" state="visible" r:id="rId8"/>
    <sheet name="Feb" sheetId="9" state="visible" r:id="rId9"/>
    <sheet name="Mar" sheetId="10" state="visible" r:id="rId10"/>
    <sheet name="Cases" sheetId="11" state="visible" r:id="rId11"/>
    <sheet name="Scoped" sheetId="12" state="visible" r:id="rId12"/>
  </sheets>
  <definedNames>
    <definedName name="GlobalRate">0.125</definedName>
    <definedName name="Rate">0.1</definedName>
    <definedName name="Numbers">Inputs!$A$1:$A$8</definedName>
    <definedName name="Rate" localSheetId="11">0.2</definedName>
  </definedNames>
  <calcPr calcId="0" calcMode="auto" fullCalcOnLoad="1" iterate="0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:mm:ss.000"/>
    <numFmt numFmtId="166" formatCode="yyyy-mm-dd 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b">
        <v>1</v>
      </c>
      <c r="C1" t="inlineStr">
        <is>
          <t>apple</t>
        </is>
      </c>
      <c r="D1" t="inlineStr">
        <is>
          <t>red</t>
        </is>
      </c>
      <c r="E1" t="n">
        <v>1</v>
      </c>
      <c r="F1" s="1" t="n">
        <v>59</v>
      </c>
    </row>
    <row r="2">
      <c r="A2" t="n">
        <v>4</v>
      </c>
      <c r="B2" t="b">
        <v>0</v>
      </c>
      <c r="C2" t="inlineStr">
        <is>
          <t>apricot</t>
        </is>
      </c>
      <c r="D2" t="inlineStr">
        <is>
          <t>red</t>
        </is>
      </c>
      <c r="E2" t="n">
        <v>2</v>
      </c>
      <c r="F2" s="1" t="n">
        <v>60</v>
      </c>
    </row>
    <row r="3">
      <c r="A3" t="n">
        <v>4</v>
      </c>
      <c r="B3" t="inlineStr">
        <is>
          <t>3</t>
        </is>
      </c>
      <c r="C3" t="inlineStr">
        <is>
          <t>a*b</t>
        </is>
      </c>
      <c r="D3" t="inlineStr">
        <is>
          <t>blue</t>
        </is>
      </c>
      <c r="E3" t="n">
        <v>3</v>
      </c>
      <c r="F3" s="1" t="n">
        <v>61</v>
      </c>
    </row>
    <row r="4">
      <c r="A4" t="n">
        <v>8</v>
      </c>
      <c r="B4" t="inlineStr">
        <is>
          <t>x</t>
        </is>
      </c>
      <c r="C4" t="inlineStr">
        <is>
          <t>A?b</t>
        </is>
      </c>
      <c r="D4" t="inlineStr">
        <is>
          <t>red</t>
        </is>
      </c>
      <c r="E4" t="n">
        <v>4</v>
      </c>
      <c r="F4" s="2" t="n">
        <v>0.123456789012345</v>
      </c>
    </row>
    <row r="5">
      <c r="A5" t="n">
        <v>10</v>
      </c>
      <c r="C5" t="inlineStr">
        <is>
          <t>berry</t>
        </is>
      </c>
      <c r="D5" t="inlineStr">
        <is>
          <t>blue</t>
        </is>
      </c>
      <c r="E5" t="n">
        <v>5</v>
      </c>
      <c r="F5" s="3" t="n">
        <v>45292.123456789</v>
      </c>
    </row>
    <row r="6">
      <c r="A6" t="n">
        <v>12</v>
      </c>
      <c r="B6" t="n">
        <v>0</v>
      </c>
      <c r="C6" t="inlineStr">
        <is>
          <t>alpha</t>
        </is>
      </c>
      <c r="D6" t="inlineStr">
        <is>
          <t>red</t>
        </is>
      </c>
      <c r="E6" t="n">
        <v>6</v>
      </c>
    </row>
    <row r="7">
      <c r="A7" t="n">
        <v>14</v>
      </c>
      <c r="B7">
        <f>""</f>
        <v/>
      </c>
      <c r="C7" t="inlineStr">
        <is>
          <t>~</t>
        </is>
      </c>
      <c r="D7" t="inlineStr">
        <is>
          <t>blue</t>
        </is>
      </c>
      <c r="E7" t="n">
        <v>7</v>
      </c>
    </row>
    <row r="8">
      <c r="A8" t="n">
        <v>16</v>
      </c>
      <c r="B8" t="n">
        <v>5</v>
      </c>
      <c r="D8" t="inlineStr">
        <is>
          <t>red</t>
        </is>
      </c>
      <c r="E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one</t>
        </is>
      </c>
      <c r="D1" t="n">
        <v>9</v>
      </c>
    </row>
    <row r="2">
      <c r="A2" t="n">
        <v>3</v>
      </c>
      <c r="B2" t="inlineStr">
        <is>
          <t>three</t>
        </is>
      </c>
      <c r="D2" t="n">
        <v>5</v>
      </c>
    </row>
    <row r="3">
      <c r="A3" t="n">
        <v>5</v>
      </c>
      <c r="B3" t="inlineStr">
        <is>
          <t>five</t>
        </is>
      </c>
      <c r="D3" t="n">
        <v>3</v>
      </c>
    </row>
    <row r="4">
      <c r="A4" t="n">
        <v>9</v>
      </c>
      <c r="B4" t="inlineStr">
        <is>
          <t>nine</t>
        </is>
      </c>
      <c r="D4" t="n">
        <v>1</v>
      </c>
    </row>
    <row r="6">
      <c r="A6" t="n">
        <v>1</v>
      </c>
      <c r="B6" t="n">
        <v>3</v>
      </c>
      <c r="C6" t="n">
        <v>5</v>
      </c>
      <c r="D6" t="n">
        <v>9</v>
      </c>
    </row>
    <row r="7">
      <c r="A7" t="n">
        <v>10</v>
      </c>
      <c r="B7" t="n">
        <v>30</v>
      </c>
      <c r="C7" t="n">
        <v>50</v>
      </c>
      <c r="D7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</row>
    <row r="2" hidden="1">
      <c r="A2" t="n">
        <v>2</v>
      </c>
      <c r="B2" t="n">
        <v>20</v>
      </c>
    </row>
    <row r="3">
      <c r="A3" t="n">
        <v>3</v>
      </c>
    </row>
    <row r="4">
      <c r="A4" t="n">
        <v>4</v>
      </c>
    </row>
    <row r="5" hidden="1">
      <c r="A5" t="n">
        <v>5</v>
      </c>
    </row>
    <row r="6">
      <c r="A6">
        <f>SUBTOTAL(9,B1:B2)</f>
        <v/>
      </c>
    </row>
    <row r="7">
      <c r="A7" t="inlineStr">
        <is>
          <t>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-1000</v>
      </c>
    </row>
    <row r="2">
      <c r="A2" t="n">
        <v>300</v>
      </c>
    </row>
    <row r="3">
      <c r="A3" t="n">
        <v>400</v>
      </c>
    </row>
    <row r="4">
      <c r="A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e">
        <v>#NULL!</v>
      </c>
    </row>
    <row r="2">
      <c r="A2" t="e">
        <v>#DIV/0!</v>
      </c>
    </row>
    <row r="3">
      <c r="A3" t="e">
        <v>#VALUE!</v>
      </c>
    </row>
    <row r="4">
      <c r="A4" t="e">
        <v>#REF!</v>
      </c>
    </row>
    <row r="5">
      <c r="A5" t="e">
        <v>#NAME?</v>
      </c>
    </row>
    <row r="6">
      <c r="A6" t="e">
        <v>#NUM!</v>
      </c>
    </row>
    <row r="7">
      <c r="A7" t="e">
        <v>#N/A</v>
      </c>
    </row>
    <row r="8">
      <c r="A8" t="e">
        <v>#GETTING_DATA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100000000001</v>
      </c>
    </row>
    <row r="2">
      <c r="A2" t="n">
        <v>100000000002</v>
      </c>
    </row>
    <row r="3">
      <c r="A3" t="n">
        <v>100000000003</v>
      </c>
    </row>
    <row r="4">
      <c r="A4" t="n">
        <v>100000000004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Native formula result</t>
        </is>
      </c>
      <c r="C1" t="inlineStr">
        <is>
          <t>Mode</t>
        </is>
      </c>
      <c r="D1" t="inlineStr">
        <is>
          <t>Original formula</t>
        </is>
      </c>
    </row>
    <row r="2">
      <c r="A2" t="inlineStr">
        <is>
          <t>function-abs</t>
        </is>
      </c>
      <c r="B2">
        <f>ABS(-7.25)</f>
        <v/>
      </c>
      <c r="C2" t="inlineStr">
        <is>
          <t>cached_equal</t>
        </is>
      </c>
      <c r="D2" t="inlineStr">
        <is>
          <t>ABS(-7.25)</t>
        </is>
      </c>
    </row>
    <row r="3">
      <c r="A3" t="inlineStr">
        <is>
          <t>function-acos</t>
        </is>
      </c>
      <c r="B3">
        <f>ACOS(0.25)</f>
        <v/>
      </c>
      <c r="C3" t="inlineStr">
        <is>
          <t>cached_equal</t>
        </is>
      </c>
      <c r="D3" t="inlineStr">
        <is>
          <t>ACOS(0.25)</t>
        </is>
      </c>
    </row>
    <row r="4">
      <c r="A4" t="inlineStr">
        <is>
          <t>function-asin</t>
        </is>
      </c>
      <c r="B4">
        <f>ASIN(-0.25)</f>
        <v/>
      </c>
      <c r="C4" t="inlineStr">
        <is>
          <t>cached_equal</t>
        </is>
      </c>
      <c r="D4" t="inlineStr">
        <is>
          <t>ASIN(-0.25)</t>
        </is>
      </c>
    </row>
    <row r="5">
      <c r="A5" t="inlineStr">
        <is>
          <t>function-atan</t>
        </is>
      </c>
      <c r="B5">
        <f>ATAN(2)</f>
        <v/>
      </c>
      <c r="C5" t="inlineStr">
        <is>
          <t>cached_equal</t>
        </is>
      </c>
      <c r="D5" t="inlineStr">
        <is>
          <t>ATAN(2)</t>
        </is>
      </c>
    </row>
    <row r="6">
      <c r="A6" t="inlineStr">
        <is>
          <t>function-atan2</t>
        </is>
      </c>
      <c r="B6">
        <f>ATAN2(-3,4)</f>
        <v/>
      </c>
      <c r="C6" t="inlineStr">
        <is>
          <t>cached_equal</t>
        </is>
      </c>
      <c r="D6" t="inlineStr">
        <is>
          <t>ATAN2(-3,4)</t>
        </is>
      </c>
    </row>
    <row r="7">
      <c r="A7" t="inlineStr">
        <is>
          <t>function-ceiling</t>
        </is>
      </c>
      <c r="B7">
        <f>CEILING(4.3,0.5)</f>
        <v/>
      </c>
      <c r="C7" t="inlineStr">
        <is>
          <t>cached_equal</t>
        </is>
      </c>
      <c r="D7" t="inlineStr">
        <is>
          <t>CEILING(4.3,0.5)</t>
        </is>
      </c>
    </row>
    <row r="8">
      <c r="A8" t="inlineStr">
        <is>
          <t>function-ceiling-math</t>
        </is>
      </c>
      <c r="B8">
        <f>_xlfn.CEILING.MATH(-4.3,2,1)</f>
        <v/>
      </c>
      <c r="C8" t="inlineStr">
        <is>
          <t>cached_equal</t>
        </is>
      </c>
      <c r="D8" t="inlineStr">
        <is>
          <t>CEILING.MATH(-4.3,2,1)</t>
        </is>
      </c>
    </row>
    <row r="9">
      <c r="A9" t="inlineStr">
        <is>
          <t>function-cos</t>
        </is>
      </c>
      <c r="B9">
        <f>COS(0.75)</f>
        <v/>
      </c>
      <c r="C9" t="inlineStr">
        <is>
          <t>cached_equal</t>
        </is>
      </c>
      <c r="D9" t="inlineStr">
        <is>
          <t>COS(0.75)</t>
        </is>
      </c>
    </row>
    <row r="10">
      <c r="A10" t="inlineStr">
        <is>
          <t>function-degrees</t>
        </is>
      </c>
      <c r="B10">
        <f>DEGREES(1.25)</f>
        <v/>
      </c>
      <c r="C10" t="inlineStr">
        <is>
          <t>cached_equal</t>
        </is>
      </c>
      <c r="D10" t="inlineStr">
        <is>
          <t>DEGREES(1.25)</t>
        </is>
      </c>
    </row>
    <row r="11">
      <c r="A11" t="inlineStr">
        <is>
          <t>function-even</t>
        </is>
      </c>
      <c r="B11">
        <f>EVEN(-3.2)</f>
        <v/>
      </c>
      <c r="C11" t="inlineStr">
        <is>
          <t>cached_equal</t>
        </is>
      </c>
      <c r="D11" t="inlineStr">
        <is>
          <t>EVEN(-3.2)</t>
        </is>
      </c>
    </row>
    <row r="12">
      <c r="A12" t="inlineStr">
        <is>
          <t>function-exp</t>
        </is>
      </c>
      <c r="B12">
        <f>EXP(1.5)</f>
        <v/>
      </c>
      <c r="C12" t="inlineStr">
        <is>
          <t>cached_equal</t>
        </is>
      </c>
      <c r="D12" t="inlineStr">
        <is>
          <t>EXP(1.5)</t>
        </is>
      </c>
    </row>
    <row r="13">
      <c r="A13" t="inlineStr">
        <is>
          <t>function-fact</t>
        </is>
      </c>
      <c r="B13">
        <f>FACT(7)</f>
        <v/>
      </c>
      <c r="C13" t="inlineStr">
        <is>
          <t>cached_equal</t>
        </is>
      </c>
      <c r="D13" t="inlineStr">
        <is>
          <t>FACT(7)</t>
        </is>
      </c>
    </row>
    <row r="14">
      <c r="A14" t="inlineStr">
        <is>
          <t>function-floor</t>
        </is>
      </c>
      <c r="B14">
        <f>FLOOR(4.7,0.5)</f>
        <v/>
      </c>
      <c r="C14" t="inlineStr">
        <is>
          <t>cached_equal</t>
        </is>
      </c>
      <c r="D14" t="inlineStr">
        <is>
          <t>FLOOR(4.7,0.5)</t>
        </is>
      </c>
    </row>
    <row r="15">
      <c r="A15" t="inlineStr">
        <is>
          <t>function-floor-math</t>
        </is>
      </c>
      <c r="B15">
        <f>_xlfn.FLOOR.MATH(-4.3,2,1)</f>
        <v/>
      </c>
      <c r="C15" t="inlineStr">
        <is>
          <t>cached_equal</t>
        </is>
      </c>
      <c r="D15" t="inlineStr">
        <is>
          <t>FLOOR.MATH(-4.3,2,1)</t>
        </is>
      </c>
    </row>
    <row r="16">
      <c r="A16" t="inlineStr">
        <is>
          <t>function-gcd</t>
        </is>
      </c>
      <c r="B16">
        <f>GCD(24,36,54)</f>
        <v/>
      </c>
      <c r="C16" t="inlineStr">
        <is>
          <t>cached_equal</t>
        </is>
      </c>
      <c r="D16" t="inlineStr">
        <is>
          <t>GCD(24,36,54)</t>
        </is>
      </c>
    </row>
    <row r="17">
      <c r="A17" t="inlineStr">
        <is>
          <t>function-int</t>
        </is>
      </c>
      <c r="B17">
        <f>INT(-3.2)</f>
        <v/>
      </c>
      <c r="C17" t="inlineStr">
        <is>
          <t>cached_equal</t>
        </is>
      </c>
      <c r="D17" t="inlineStr">
        <is>
          <t>INT(-3.2)</t>
        </is>
      </c>
    </row>
    <row r="18">
      <c r="A18" t="inlineStr">
        <is>
          <t>function-lcm</t>
        </is>
      </c>
      <c r="B18">
        <f>LCM(6,8,9)</f>
        <v/>
      </c>
      <c r="C18" t="inlineStr">
        <is>
          <t>cached_equal</t>
        </is>
      </c>
      <c r="D18" t="inlineStr">
        <is>
          <t>LCM(6,8,9)</t>
        </is>
      </c>
    </row>
    <row r="19">
      <c r="A19" t="inlineStr">
        <is>
          <t>function-ln</t>
        </is>
      </c>
      <c r="B19">
        <f>LN(2.5)</f>
        <v/>
      </c>
      <c r="C19" t="inlineStr">
        <is>
          <t>cached_equal</t>
        </is>
      </c>
      <c r="D19" t="inlineStr">
        <is>
          <t>LN(2.5)</t>
        </is>
      </c>
    </row>
    <row r="20">
      <c r="A20" t="inlineStr">
        <is>
          <t>function-log</t>
        </is>
      </c>
      <c r="B20">
        <f>LOG(125,5)</f>
        <v/>
      </c>
      <c r="C20" t="inlineStr">
        <is>
          <t>cached_equal</t>
        </is>
      </c>
      <c r="D20" t="inlineStr">
        <is>
          <t>LOG(125,5)</t>
        </is>
      </c>
    </row>
    <row r="21">
      <c r="A21" t="inlineStr">
        <is>
          <t>function-log10</t>
        </is>
      </c>
      <c r="B21">
        <f>LOG10(1000)</f>
        <v/>
      </c>
      <c r="C21" t="inlineStr">
        <is>
          <t>cached_equal</t>
        </is>
      </c>
      <c r="D21" t="inlineStr">
        <is>
          <t>LOG10(1000)</t>
        </is>
      </c>
    </row>
    <row r="22">
      <c r="A22" t="inlineStr">
        <is>
          <t>function-mod</t>
        </is>
      </c>
      <c r="B22">
        <f>MOD(-7,3)</f>
        <v/>
      </c>
      <c r="C22" t="inlineStr">
        <is>
          <t>cached_equal</t>
        </is>
      </c>
      <c r="D22" t="inlineStr">
        <is>
          <t>MOD(-7,3)</t>
        </is>
      </c>
    </row>
    <row r="23">
      <c r="A23" t="inlineStr">
        <is>
          <t>function-mround</t>
        </is>
      </c>
      <c r="B23">
        <f>MROUND(10,3)</f>
        <v/>
      </c>
      <c r="C23" t="inlineStr">
        <is>
          <t>cached_equal</t>
        </is>
      </c>
      <c r="D23" t="inlineStr">
        <is>
          <t>MROUND(10,3)</t>
        </is>
      </c>
    </row>
    <row r="24">
      <c r="A24" t="inlineStr">
        <is>
          <t>function-odd</t>
        </is>
      </c>
      <c r="B24">
        <f>ODD(-2.1)</f>
        <v/>
      </c>
      <c r="C24" t="inlineStr">
        <is>
          <t>cached_equal</t>
        </is>
      </c>
      <c r="D24" t="inlineStr">
        <is>
          <t>ODD(-2.1)</t>
        </is>
      </c>
    </row>
    <row r="25">
      <c r="A25" t="inlineStr">
        <is>
          <t>function-pi</t>
        </is>
      </c>
      <c r="B25">
        <f>PI()</f>
        <v/>
      </c>
      <c r="C25" t="inlineStr">
        <is>
          <t>cached_equal</t>
        </is>
      </c>
      <c r="D25" t="inlineStr">
        <is>
          <t>PI()</t>
        </is>
      </c>
    </row>
    <row r="26">
      <c r="A26" t="inlineStr">
        <is>
          <t>function-power</t>
        </is>
      </c>
      <c r="B26">
        <f>POWER(2.5,3)</f>
        <v/>
      </c>
      <c r="C26" t="inlineStr">
        <is>
          <t>cached_equal</t>
        </is>
      </c>
      <c r="D26" t="inlineStr">
        <is>
          <t>POWER(2.5,3)</t>
        </is>
      </c>
    </row>
    <row r="27">
      <c r="A27" t="inlineStr">
        <is>
          <t>function-product</t>
        </is>
      </c>
      <c r="B27">
        <f>PRODUCT(Inputs!A1:A4)</f>
        <v/>
      </c>
      <c r="C27" t="inlineStr">
        <is>
          <t>cached_equal</t>
        </is>
      </c>
      <c r="D27" t="inlineStr">
        <is>
          <t>PRODUCT(Inputs!A1:A4)</t>
        </is>
      </c>
    </row>
    <row r="28">
      <c r="A28" t="inlineStr">
        <is>
          <t>function-quotient</t>
        </is>
      </c>
      <c r="B28">
        <f>QUOTIENT(-7,3)</f>
        <v/>
      </c>
      <c r="C28" t="inlineStr">
        <is>
          <t>cached_equal</t>
        </is>
      </c>
      <c r="D28" t="inlineStr">
        <is>
          <t>QUOTIENT(-7,3)</t>
        </is>
      </c>
    </row>
    <row r="29">
      <c r="A29" t="inlineStr">
        <is>
          <t>function-radians</t>
        </is>
      </c>
      <c r="B29">
        <f>RADIANS(135)</f>
        <v/>
      </c>
      <c r="C29" t="inlineStr">
        <is>
          <t>cached_equal</t>
        </is>
      </c>
      <c r="D29" t="inlineStr">
        <is>
          <t>RADIANS(135)</t>
        </is>
      </c>
    </row>
    <row r="30">
      <c r="A30" t="inlineStr">
        <is>
          <t>function-rand</t>
        </is>
      </c>
      <c r="B30">
        <f>RAND()</f>
        <v/>
      </c>
      <c r="C30" t="inlineStr">
        <is>
          <t>behavior_only</t>
        </is>
      </c>
      <c r="D30" t="inlineStr">
        <is>
          <t>RAND()</t>
        </is>
      </c>
    </row>
    <row r="31">
      <c r="A31" t="inlineStr">
        <is>
          <t>function-randbetween</t>
        </is>
      </c>
      <c r="B31">
        <f>RANDBETWEEN(-5,7)</f>
        <v/>
      </c>
      <c r="C31" t="inlineStr">
        <is>
          <t>behavior_only</t>
        </is>
      </c>
      <c r="D31" t="inlineStr">
        <is>
          <t>RANDBETWEEN(-5,7)</t>
        </is>
      </c>
    </row>
    <row r="32">
      <c r="A32" t="inlineStr">
        <is>
          <t>function-round</t>
        </is>
      </c>
      <c r="B32">
        <f>ROUND(2.675,2)</f>
        <v/>
      </c>
      <c r="C32" t="inlineStr">
        <is>
          <t>cached_equal</t>
        </is>
      </c>
      <c r="D32" t="inlineStr">
        <is>
          <t>ROUND(2.675,2)</t>
        </is>
      </c>
    </row>
    <row r="33">
      <c r="A33" t="inlineStr">
        <is>
          <t>function-rounddown</t>
        </is>
      </c>
      <c r="B33">
        <f>ROUNDDOWN(-3.14159,3)</f>
        <v/>
      </c>
      <c r="C33" t="inlineStr">
        <is>
          <t>cached_equal</t>
        </is>
      </c>
      <c r="D33" t="inlineStr">
        <is>
          <t>ROUNDDOWN(-3.14159,3)</t>
        </is>
      </c>
    </row>
    <row r="34">
      <c r="A34" t="inlineStr">
        <is>
          <t>function-roundup</t>
        </is>
      </c>
      <c r="B34">
        <f>ROUNDUP(-3.14159,3)</f>
        <v/>
      </c>
      <c r="C34" t="inlineStr">
        <is>
          <t>cached_equal</t>
        </is>
      </c>
      <c r="D34" t="inlineStr">
        <is>
          <t>ROUNDUP(-3.14159,3)</t>
        </is>
      </c>
    </row>
    <row r="35">
      <c r="A35" t="inlineStr">
        <is>
          <t>function-sign</t>
        </is>
      </c>
      <c r="B35">
        <f>SIGN(-0.001)</f>
        <v/>
      </c>
      <c r="C35" t="inlineStr">
        <is>
          <t>cached_equal</t>
        </is>
      </c>
      <c r="D35" t="inlineStr">
        <is>
          <t>SIGN(-0.001)</t>
        </is>
      </c>
    </row>
    <row r="36">
      <c r="A36" t="inlineStr">
        <is>
          <t>function-sin</t>
        </is>
      </c>
      <c r="B36">
        <f>SIN(0.75)</f>
        <v/>
      </c>
      <c r="C36" t="inlineStr">
        <is>
          <t>cached_equal</t>
        </is>
      </c>
      <c r="D36" t="inlineStr">
        <is>
          <t>SIN(0.75)</t>
        </is>
      </c>
    </row>
    <row r="37">
      <c r="A37" t="inlineStr">
        <is>
          <t>function-sqrt</t>
        </is>
      </c>
      <c r="B37">
        <f>SQRT(2)</f>
        <v/>
      </c>
      <c r="C37" t="inlineStr">
        <is>
          <t>cached_equal</t>
        </is>
      </c>
      <c r="D37" t="inlineStr">
        <is>
          <t>SQRT(2)</t>
        </is>
      </c>
    </row>
    <row r="38">
      <c r="A38" t="inlineStr">
        <is>
          <t>function-subtotal</t>
        </is>
      </c>
      <c r="B38">
        <f>SUBTOTAL(9,Hidden!A1:A8)</f>
        <v/>
      </c>
      <c r="C38" t="inlineStr">
        <is>
          <t>cached_equal</t>
        </is>
      </c>
      <c r="D38" t="inlineStr">
        <is>
          <t>SUBTOTAL(9,Hidden!A1:A8)</t>
        </is>
      </c>
    </row>
    <row r="39">
      <c r="A39" t="inlineStr">
        <is>
          <t>function-sum</t>
        </is>
      </c>
      <c r="B39">
        <f>SUM(Inputs!A1:A8)</f>
        <v/>
      </c>
      <c r="C39" t="inlineStr">
        <is>
          <t>cached_equal</t>
        </is>
      </c>
      <c r="D39" t="inlineStr">
        <is>
          <t>SUM(Inputs!A1:A8)</t>
        </is>
      </c>
    </row>
    <row r="40">
      <c r="A40" t="inlineStr">
        <is>
          <t>function-sumif</t>
        </is>
      </c>
      <c r="B40">
        <f>SUMIF(Inputs!C1:C8,"a*",Inputs!A1:A8)</f>
        <v/>
      </c>
      <c r="C40" t="inlineStr">
        <is>
          <t>cached_equal</t>
        </is>
      </c>
      <c r="D40" t="inlineStr">
        <is>
          <t>SUMIF(Inputs!C1:C8,"a*",Inputs!A1:A8)</t>
        </is>
      </c>
    </row>
    <row r="41">
      <c r="A41" t="inlineStr">
        <is>
          <t>function-sumifs</t>
        </is>
      </c>
      <c r="B41">
        <f>SUMIFS(Inputs!A1:A8,Inputs!C1:C8,"a*",Inputs!D1:D8,"red")</f>
        <v/>
      </c>
      <c r="C41" t="inlineStr">
        <is>
          <t>cached_equal</t>
        </is>
      </c>
      <c r="D41" t="inlineStr">
        <is>
          <t>SUMIFS(Inputs!A1:A8,Inputs!C1:C8,"a*",Inputs!D1:D8,"red")</t>
        </is>
      </c>
    </row>
    <row r="42">
      <c r="A42" t="inlineStr">
        <is>
          <t>function-sumproduct</t>
        </is>
      </c>
      <c r="B42">
        <f>SUMPRODUCT(Inputs!A1:A8,Inputs!E1:E8)</f>
        <v/>
      </c>
      <c r="C42" t="inlineStr">
        <is>
          <t>cached_equal</t>
        </is>
      </c>
      <c r="D42" t="inlineStr">
        <is>
          <t>SUMPRODUCT(Inputs!A1:A8,Inputs!E1:E8)</t>
        </is>
      </c>
    </row>
    <row r="43">
      <c r="A43" t="inlineStr">
        <is>
          <t>function-tan</t>
        </is>
      </c>
      <c r="B43">
        <f>TAN(0.75)</f>
        <v/>
      </c>
      <c r="C43" t="inlineStr">
        <is>
          <t>cached_equal</t>
        </is>
      </c>
      <c r="D43" t="inlineStr">
        <is>
          <t>TAN(0.75)</t>
        </is>
      </c>
    </row>
    <row r="44">
      <c r="A44" t="inlineStr">
        <is>
          <t>function-trunc</t>
        </is>
      </c>
      <c r="B44">
        <f>TRUNC(-3.14159,3)</f>
        <v/>
      </c>
      <c r="C44" t="inlineStr">
        <is>
          <t>cached_equal</t>
        </is>
      </c>
      <c r="D44" t="inlineStr">
        <is>
          <t>TRUNC(-3.14159,3)</t>
        </is>
      </c>
    </row>
    <row r="45">
      <c r="A45" t="inlineStr">
        <is>
          <t>function-average</t>
        </is>
      </c>
      <c r="B45">
        <f>AVERAGE(Inputs!A1:A8)</f>
        <v/>
      </c>
      <c r="C45" t="inlineStr">
        <is>
          <t>cached_equal</t>
        </is>
      </c>
      <c r="D45" t="inlineStr">
        <is>
          <t>AVERAGE(Inputs!A1:A8)</t>
        </is>
      </c>
    </row>
    <row r="46">
      <c r="A46" t="inlineStr">
        <is>
          <t>function-averagea</t>
        </is>
      </c>
      <c r="B46">
        <f>AVERAGEA(Inputs!B1:B8)</f>
        <v/>
      </c>
      <c r="C46" t="inlineStr">
        <is>
          <t>cached_equal</t>
        </is>
      </c>
      <c r="D46" t="inlineStr">
        <is>
          <t>AVERAGEA(Inputs!B1:B8)</t>
        </is>
      </c>
    </row>
    <row r="47">
      <c r="A47" t="inlineStr">
        <is>
          <t>function-averageif</t>
        </is>
      </c>
      <c r="B47">
        <f>AVERAGEIF(Inputs!C1:C8,"a*",Inputs!A1:A8)</f>
        <v/>
      </c>
      <c r="C47" t="inlineStr">
        <is>
          <t>cached_equal</t>
        </is>
      </c>
      <c r="D47" t="inlineStr">
        <is>
          <t>AVERAGEIF(Inputs!C1:C8,"a*",Inputs!A1:A8)</t>
        </is>
      </c>
    </row>
    <row r="48">
      <c r="A48" t="inlineStr">
        <is>
          <t>function-averageifs</t>
        </is>
      </c>
      <c r="B48">
        <f>AVERAGEIFS(Inputs!A1:A8,Inputs!C1:C8,"a*",Inputs!D1:D8,"red")</f>
        <v/>
      </c>
      <c r="C48" t="inlineStr">
        <is>
          <t>cached_equal</t>
        </is>
      </c>
      <c r="D48" t="inlineStr">
        <is>
          <t>AVERAGEIFS(Inputs!A1:A8,Inputs!C1:C8,"a*",Inputs!D1:D8,"red")</t>
        </is>
      </c>
    </row>
    <row r="49">
      <c r="A49" t="inlineStr">
        <is>
          <t>function-count</t>
        </is>
      </c>
      <c r="B49">
        <f>COUNT(Inputs!B1:B8)</f>
        <v/>
      </c>
      <c r="C49" t="inlineStr">
        <is>
          <t>cached_equal</t>
        </is>
      </c>
      <c r="D49" t="inlineStr">
        <is>
          <t>COUNT(Inputs!B1:B8)</t>
        </is>
      </c>
    </row>
    <row r="50">
      <c r="A50" t="inlineStr">
        <is>
          <t>function-counta</t>
        </is>
      </c>
      <c r="B50">
        <f>COUNTA(Inputs!B1:B8)</f>
        <v/>
      </c>
      <c r="C50" t="inlineStr">
        <is>
          <t>cached_equal</t>
        </is>
      </c>
      <c r="D50" t="inlineStr">
        <is>
          <t>COUNTA(Inputs!B1:B8)</t>
        </is>
      </c>
    </row>
    <row r="51">
      <c r="A51" t="inlineStr">
        <is>
          <t>function-countblank</t>
        </is>
      </c>
      <c r="B51">
        <f>COUNTBLANK(Inputs!B1:B8)</f>
        <v/>
      </c>
      <c r="C51" t="inlineStr">
        <is>
          <t>cached_equal</t>
        </is>
      </c>
      <c r="D51" t="inlineStr">
        <is>
          <t>COUNTBLANK(Inputs!B1:B8)</t>
        </is>
      </c>
    </row>
    <row r="52">
      <c r="A52" t="inlineStr">
        <is>
          <t>function-countif</t>
        </is>
      </c>
      <c r="B52">
        <f>COUNTIF(Inputs!C1:C8,"a*")</f>
        <v/>
      </c>
      <c r="C52" t="inlineStr">
        <is>
          <t>cached_equal</t>
        </is>
      </c>
      <c r="D52" t="inlineStr">
        <is>
          <t>COUNTIF(Inputs!C1:C8,"a*")</t>
        </is>
      </c>
    </row>
    <row r="53">
      <c r="A53" t="inlineStr">
        <is>
          <t>function-countifs</t>
        </is>
      </c>
      <c r="B53">
        <f>COUNTIFS(Inputs!C1:C8,"a*",Inputs!D1:D8,"red")</f>
        <v/>
      </c>
      <c r="C53" t="inlineStr">
        <is>
          <t>cached_equal</t>
        </is>
      </c>
      <c r="D53" t="inlineStr">
        <is>
          <t>COUNTIFS(Inputs!C1:C8,"a*",Inputs!D1:D8,"red")</t>
        </is>
      </c>
    </row>
    <row r="54">
      <c r="A54" t="inlineStr">
        <is>
          <t>function-large</t>
        </is>
      </c>
      <c r="B54">
        <f>LARGE(Inputs!A1:A8,3)</f>
        <v/>
      </c>
      <c r="C54" t="inlineStr">
        <is>
          <t>cached_equal</t>
        </is>
      </c>
      <c r="D54" t="inlineStr">
        <is>
          <t>LARGE(Inputs!A1:A8,3)</t>
        </is>
      </c>
    </row>
    <row r="55">
      <c r="A55" t="inlineStr">
        <is>
          <t>function-max</t>
        </is>
      </c>
      <c r="B55">
        <f>MAX(Inputs!A1:A8)</f>
        <v/>
      </c>
      <c r="C55" t="inlineStr">
        <is>
          <t>cached_equal</t>
        </is>
      </c>
      <c r="D55" t="inlineStr">
        <is>
          <t>MAX(Inputs!A1:A8)</t>
        </is>
      </c>
    </row>
    <row r="56">
      <c r="A56" t="inlineStr">
        <is>
          <t>function-maxa</t>
        </is>
      </c>
      <c r="B56">
        <f>MAXA(Inputs!B1:B8)</f>
        <v/>
      </c>
      <c r="C56" t="inlineStr">
        <is>
          <t>cached_equal</t>
        </is>
      </c>
      <c r="D56" t="inlineStr">
        <is>
          <t>MAXA(Inputs!B1:B8)</t>
        </is>
      </c>
    </row>
    <row r="57">
      <c r="A57" t="inlineStr">
        <is>
          <t>function-maxifs</t>
        </is>
      </c>
      <c r="B57">
        <f>_xlfn.MAXIFS(Inputs!A1:A8,Inputs!D1:D8,"red")</f>
        <v/>
      </c>
      <c r="C57" t="inlineStr">
        <is>
          <t>cached_equal</t>
        </is>
      </c>
      <c r="D57" t="inlineStr">
        <is>
          <t>MAXIFS(Inputs!A1:A8,Inputs!D1:D8,"red")</t>
        </is>
      </c>
    </row>
    <row r="58">
      <c r="A58" t="inlineStr">
        <is>
          <t>function-median</t>
        </is>
      </c>
      <c r="B58">
        <f>MEDIAN(Inputs!A1:A8)</f>
        <v/>
      </c>
      <c r="C58" t="inlineStr">
        <is>
          <t>cached_equal</t>
        </is>
      </c>
      <c r="D58" t="inlineStr">
        <is>
          <t>MEDIAN(Inputs!A1:A8)</t>
        </is>
      </c>
    </row>
    <row r="59">
      <c r="A59" t="inlineStr">
        <is>
          <t>function-min</t>
        </is>
      </c>
      <c r="B59">
        <f>MIN(Inputs!A1:A8)</f>
        <v/>
      </c>
      <c r="C59" t="inlineStr">
        <is>
          <t>cached_equal</t>
        </is>
      </c>
      <c r="D59" t="inlineStr">
        <is>
          <t>MIN(Inputs!A1:A8)</t>
        </is>
      </c>
    </row>
    <row r="60">
      <c r="A60" t="inlineStr">
        <is>
          <t>function-mina</t>
        </is>
      </c>
      <c r="B60">
        <f>MINA(Inputs!B1:B8)</f>
        <v/>
      </c>
      <c r="C60" t="inlineStr">
        <is>
          <t>cached_equal</t>
        </is>
      </c>
      <c r="D60" t="inlineStr">
        <is>
          <t>MINA(Inputs!B1:B8)</t>
        </is>
      </c>
    </row>
    <row r="61">
      <c r="A61" t="inlineStr">
        <is>
          <t>function-minifs</t>
        </is>
      </c>
      <c r="B61">
        <f>_xlfn.MINIFS(Inputs!A1:A8,Inputs!D1:D8,"blue")</f>
        <v/>
      </c>
      <c r="C61" t="inlineStr">
        <is>
          <t>cached_equal</t>
        </is>
      </c>
      <c r="D61" t="inlineStr">
        <is>
          <t>MINIFS(Inputs!A1:A8,Inputs!D1:D8,"blue")</t>
        </is>
      </c>
    </row>
    <row r="62">
      <c r="A62" t="inlineStr">
        <is>
          <t>function-mode</t>
        </is>
      </c>
      <c r="B62">
        <f>MODE(Inputs!A1:A8)</f>
        <v/>
      </c>
      <c r="C62" t="inlineStr">
        <is>
          <t>cached_equal</t>
        </is>
      </c>
      <c r="D62" t="inlineStr">
        <is>
          <t>MODE(Inputs!A1:A8)</t>
        </is>
      </c>
    </row>
    <row r="63">
      <c r="A63" t="inlineStr">
        <is>
          <t>function-mode-sngl</t>
        </is>
      </c>
      <c r="B63">
        <f>_xlfn.MODE.SNGL(Inputs!A1:A8)</f>
        <v/>
      </c>
      <c r="C63" t="inlineStr">
        <is>
          <t>cached_equal</t>
        </is>
      </c>
      <c r="D63" t="inlineStr">
        <is>
          <t>MODE.SNGL(Inputs!A1:A8)</t>
        </is>
      </c>
    </row>
    <row r="64">
      <c r="A64" t="inlineStr">
        <is>
          <t>function-percentile</t>
        </is>
      </c>
      <c r="B64">
        <f>PERCENTILE(Inputs!A1:A8,0.3)</f>
        <v/>
      </c>
      <c r="C64" t="inlineStr">
        <is>
          <t>cached_equal</t>
        </is>
      </c>
      <c r="D64" t="inlineStr">
        <is>
          <t>PERCENTILE(Inputs!A1:A8,0.3)</t>
        </is>
      </c>
    </row>
    <row r="65">
      <c r="A65" t="inlineStr">
        <is>
          <t>function-percentile-inc</t>
        </is>
      </c>
      <c r="B65">
        <f>_xlfn.PERCENTILE.INC(Inputs!A1:A8,0.3)</f>
        <v/>
      </c>
      <c r="C65" t="inlineStr">
        <is>
          <t>cached_equal</t>
        </is>
      </c>
      <c r="D65" t="inlineStr">
        <is>
          <t>PERCENTILE.INC(Inputs!A1:A8,0.3)</t>
        </is>
      </c>
    </row>
    <row r="66">
      <c r="A66" t="inlineStr">
        <is>
          <t>function-quartile</t>
        </is>
      </c>
      <c r="B66">
        <f>QUARTILE(Inputs!A1:A8,1)</f>
        <v/>
      </c>
      <c r="C66" t="inlineStr">
        <is>
          <t>cached_equal</t>
        </is>
      </c>
      <c r="D66" t="inlineStr">
        <is>
          <t>QUARTILE(Inputs!A1:A8,1)</t>
        </is>
      </c>
    </row>
    <row r="67">
      <c r="A67" t="inlineStr">
        <is>
          <t>function-quartile-inc</t>
        </is>
      </c>
      <c r="B67">
        <f>_xlfn.QUARTILE.INC(Inputs!A1:A8,3)</f>
        <v/>
      </c>
      <c r="C67" t="inlineStr">
        <is>
          <t>cached_equal</t>
        </is>
      </c>
      <c r="D67" t="inlineStr">
        <is>
          <t>QUARTILE.INC(Inputs!A1:A8,3)</t>
        </is>
      </c>
    </row>
    <row r="68">
      <c r="A68" t="inlineStr">
        <is>
          <t>function-rank</t>
        </is>
      </c>
      <c r="B68">
        <f>RANK(8,Inputs!A1:A8,0)</f>
        <v/>
      </c>
      <c r="C68" t="inlineStr">
        <is>
          <t>cached_equal</t>
        </is>
      </c>
      <c r="D68" t="inlineStr">
        <is>
          <t>RANK(8,Inputs!A1:A8,0)</t>
        </is>
      </c>
    </row>
    <row r="69">
      <c r="A69" t="inlineStr">
        <is>
          <t>function-rank-eq</t>
        </is>
      </c>
      <c r="B69">
        <f>_xlfn.RANK.EQ(4,Inputs!A1:A8,1)</f>
        <v/>
      </c>
      <c r="C69" t="inlineStr">
        <is>
          <t>cached_equal</t>
        </is>
      </c>
      <c r="D69" t="inlineStr">
        <is>
          <t>RANK.EQ(4,Inputs!A1:A8,1)</t>
        </is>
      </c>
    </row>
    <row r="70">
      <c r="A70" t="inlineStr">
        <is>
          <t>function-small</t>
        </is>
      </c>
      <c r="B70">
        <f>SMALL(Inputs!A1:A8,3)</f>
        <v/>
      </c>
      <c r="C70" t="inlineStr">
        <is>
          <t>cached_equal</t>
        </is>
      </c>
      <c r="D70" t="inlineStr">
        <is>
          <t>SMALL(Inputs!A1:A8,3)</t>
        </is>
      </c>
    </row>
    <row r="71">
      <c r="A71" t="inlineStr">
        <is>
          <t>function-stdev</t>
        </is>
      </c>
      <c r="B71">
        <f>STDEV(Inputs!A1:A8)</f>
        <v/>
      </c>
      <c r="C71" t="inlineStr">
        <is>
          <t>cached_equal</t>
        </is>
      </c>
      <c r="D71" t="inlineStr">
        <is>
          <t>STDEV(Inputs!A1:A8)</t>
        </is>
      </c>
    </row>
    <row r="72">
      <c r="A72" t="inlineStr">
        <is>
          <t>function-stdev-p</t>
        </is>
      </c>
      <c r="B72">
        <f>_xlfn.STDEV.P(Inputs!A1:A8)</f>
        <v/>
      </c>
      <c r="C72" t="inlineStr">
        <is>
          <t>cached_equal</t>
        </is>
      </c>
      <c r="D72" t="inlineStr">
        <is>
          <t>STDEV.P(Inputs!A1:A8)</t>
        </is>
      </c>
    </row>
    <row r="73">
      <c r="A73" t="inlineStr">
        <is>
          <t>function-stdev-s</t>
        </is>
      </c>
      <c r="B73">
        <f>_xlfn.STDEV.S(Inputs!A1:A8)</f>
        <v/>
      </c>
      <c r="C73" t="inlineStr">
        <is>
          <t>cached_equal</t>
        </is>
      </c>
      <c r="D73" t="inlineStr">
        <is>
          <t>STDEV.S(Inputs!A1:A8)</t>
        </is>
      </c>
    </row>
    <row r="74">
      <c r="A74" t="inlineStr">
        <is>
          <t>function-stdevp</t>
        </is>
      </c>
      <c r="B74">
        <f>STDEVP(Inputs!A1:A8)</f>
        <v/>
      </c>
      <c r="C74" t="inlineStr">
        <is>
          <t>cached_equal</t>
        </is>
      </c>
      <c r="D74" t="inlineStr">
        <is>
          <t>STDEVP(Inputs!A1:A8)</t>
        </is>
      </c>
    </row>
    <row r="75">
      <c r="A75" t="inlineStr">
        <is>
          <t>function-var</t>
        </is>
      </c>
      <c r="B75">
        <f>VAR(Inputs!A1:A8)</f>
        <v/>
      </c>
      <c r="C75" t="inlineStr">
        <is>
          <t>cached_equal</t>
        </is>
      </c>
      <c r="D75" t="inlineStr">
        <is>
          <t>VAR(Inputs!A1:A8)</t>
        </is>
      </c>
    </row>
    <row r="76">
      <c r="A76" t="inlineStr">
        <is>
          <t>function-var-p</t>
        </is>
      </c>
      <c r="B76">
        <f>_xlfn.VAR.P(Inputs!A1:A8)</f>
        <v/>
      </c>
      <c r="C76" t="inlineStr">
        <is>
          <t>cached_equal</t>
        </is>
      </c>
      <c r="D76" t="inlineStr">
        <is>
          <t>VAR.P(Inputs!A1:A8)</t>
        </is>
      </c>
    </row>
    <row r="77">
      <c r="A77" t="inlineStr">
        <is>
          <t>function-var-s</t>
        </is>
      </c>
      <c r="B77">
        <f>_xlfn.VAR.S(Inputs!A1:A8)</f>
        <v/>
      </c>
      <c r="C77" t="inlineStr">
        <is>
          <t>cached_equal</t>
        </is>
      </c>
      <c r="D77" t="inlineStr">
        <is>
          <t>VAR.S(Inputs!A1:A8)</t>
        </is>
      </c>
    </row>
    <row r="78">
      <c r="A78" t="inlineStr">
        <is>
          <t>function-varp</t>
        </is>
      </c>
      <c r="B78">
        <f>VARP(Inputs!A1:A8)</f>
        <v/>
      </c>
      <c r="C78" t="inlineStr">
        <is>
          <t>cached_equal</t>
        </is>
      </c>
      <c r="D78" t="inlineStr">
        <is>
          <t>VARP(Inputs!A1:A8)</t>
        </is>
      </c>
    </row>
    <row r="79">
      <c r="A79" t="inlineStr">
        <is>
          <t>function-and</t>
        </is>
      </c>
      <c r="B79">
        <f>AND(TRUE,2,Inputs!A1&gt;0)</f>
        <v/>
      </c>
      <c r="C79" t="inlineStr">
        <is>
          <t>cached_equal</t>
        </is>
      </c>
      <c r="D79" t="inlineStr">
        <is>
          <t>AND(TRUE,2,Inputs!A1&gt;0)</t>
        </is>
      </c>
    </row>
    <row r="80">
      <c r="A80" t="inlineStr">
        <is>
          <t>function-false</t>
        </is>
      </c>
      <c r="B80">
        <f>FALSE()</f>
        <v/>
      </c>
      <c r="C80" t="inlineStr">
        <is>
          <t>cached_equal</t>
        </is>
      </c>
      <c r="D80" t="inlineStr">
        <is>
          <t>FALSE()</t>
        </is>
      </c>
    </row>
    <row r="81">
      <c r="A81" t="inlineStr">
        <is>
          <t>function-if</t>
        </is>
      </c>
      <c r="B81">
        <f>IF(Inputs!A1&gt;0,11,1/0)</f>
        <v/>
      </c>
      <c r="C81" t="inlineStr">
        <is>
          <t>cached_equal</t>
        </is>
      </c>
      <c r="D81" t="inlineStr">
        <is>
          <t>IF(Inputs!A1&gt;0,11,1/0)</t>
        </is>
      </c>
    </row>
    <row r="82">
      <c r="A82" t="inlineStr">
        <is>
          <t>function-iferror</t>
        </is>
      </c>
      <c r="B82">
        <f>IFERROR(1/0,17)</f>
        <v/>
      </c>
      <c r="C82" t="inlineStr">
        <is>
          <t>cached_equal</t>
        </is>
      </c>
      <c r="D82" t="inlineStr">
        <is>
          <t>IFERROR(1/0,17)</t>
        </is>
      </c>
    </row>
    <row r="83">
      <c r="A83" t="inlineStr">
        <is>
          <t>function-ifna</t>
        </is>
      </c>
      <c r="B83">
        <f>_xlfn.IFNA(NA(),19)</f>
        <v/>
      </c>
      <c r="C83" t="inlineStr">
        <is>
          <t>cached_equal</t>
        </is>
      </c>
      <c r="D83" t="inlineStr">
        <is>
          <t>IFNA(NA(),19)</t>
        </is>
      </c>
    </row>
    <row r="84">
      <c r="A84" t="inlineStr">
        <is>
          <t>function-ifs</t>
        </is>
      </c>
      <c r="B84">
        <f>_xlfn.IFS(FALSE,1,Inputs!A1=2,2,TRUE,3)</f>
        <v/>
      </c>
      <c r="C84" t="inlineStr">
        <is>
          <t>cached_equal</t>
        </is>
      </c>
      <c r="D84" t="inlineStr">
        <is>
          <t>IFS(FALSE,1,Inputs!A1=2,2,TRUE,3)</t>
        </is>
      </c>
    </row>
    <row r="85">
      <c r="A85" t="inlineStr">
        <is>
          <t>function-not</t>
        </is>
      </c>
      <c r="B85">
        <f>NOT(0)</f>
        <v/>
      </c>
      <c r="C85" t="inlineStr">
        <is>
          <t>cached_equal</t>
        </is>
      </c>
      <c r="D85" t="inlineStr">
        <is>
          <t>NOT(0)</t>
        </is>
      </c>
    </row>
    <row r="86">
      <c r="A86" t="inlineStr">
        <is>
          <t>function-or</t>
        </is>
      </c>
      <c r="B86">
        <f>OR(FALSE,0,Inputs!A1)</f>
        <v/>
      </c>
      <c r="C86" t="inlineStr">
        <is>
          <t>cached_equal</t>
        </is>
      </c>
      <c r="D86" t="inlineStr">
        <is>
          <t>OR(FALSE,0,Inputs!A1)</t>
        </is>
      </c>
    </row>
    <row r="87">
      <c r="A87" t="inlineStr">
        <is>
          <t>function-switch</t>
        </is>
      </c>
      <c r="B87">
        <f>_xlfn.SWITCH(3,1,"one",3,"three","other")</f>
        <v/>
      </c>
      <c r="C87" t="inlineStr">
        <is>
          <t>cached_equal</t>
        </is>
      </c>
      <c r="D87" t="inlineStr">
        <is>
          <t>SWITCH(3,1,"one",3,"three","other")</t>
        </is>
      </c>
    </row>
    <row r="88">
      <c r="A88" t="inlineStr">
        <is>
          <t>function-true</t>
        </is>
      </c>
      <c r="B88">
        <f>TRUE()</f>
        <v/>
      </c>
      <c r="C88" t="inlineStr">
        <is>
          <t>cached_equal</t>
        </is>
      </c>
      <c r="D88" t="inlineStr">
        <is>
          <t>TRUE()</t>
        </is>
      </c>
    </row>
    <row r="89">
      <c r="A89" t="inlineStr">
        <is>
          <t>function-xor</t>
        </is>
      </c>
      <c r="B89">
        <f>_xlfn.XOR(TRUE,FALSE,TRUE)</f>
        <v/>
      </c>
      <c r="C89" t="inlineStr">
        <is>
          <t>cached_equal</t>
        </is>
      </c>
      <c r="D89" t="inlineStr">
        <is>
          <t>XOR(TRUE,FALSE,TRUE)</t>
        </is>
      </c>
    </row>
    <row r="90">
      <c r="A90" t="inlineStr">
        <is>
          <t>function-address</t>
        </is>
      </c>
      <c r="B90">
        <f>ADDRESS(3,4,2,TRUE,"Q1 Sales")</f>
        <v/>
      </c>
      <c r="C90" t="inlineStr">
        <is>
          <t>cached_equal</t>
        </is>
      </c>
      <c r="D90" t="inlineStr">
        <is>
          <t>ADDRESS(3,4,2,TRUE,"Q1 Sales")</t>
        </is>
      </c>
    </row>
    <row r="91">
      <c r="A91" t="inlineStr">
        <is>
          <t>function-choose</t>
        </is>
      </c>
      <c r="B91">
        <f>CHOOSE(2,"red","green","blue")</f>
        <v/>
      </c>
      <c r="C91" t="inlineStr">
        <is>
          <t>cached_equal</t>
        </is>
      </c>
      <c r="D91" t="inlineStr">
        <is>
          <t>CHOOSE(2,"red","green","blue")</t>
        </is>
      </c>
    </row>
    <row r="92">
      <c r="A92" t="inlineStr">
        <is>
          <t>function-column</t>
        </is>
      </c>
      <c r="B92">
        <f>COLUMN(Matrix!B2)</f>
        <v/>
      </c>
      <c r="C92" t="inlineStr">
        <is>
          <t>cached_equal</t>
        </is>
      </c>
      <c r="D92" t="inlineStr">
        <is>
          <t>COLUMN(Matrix!B2)</t>
        </is>
      </c>
    </row>
    <row r="93">
      <c r="A93" t="inlineStr">
        <is>
          <t>function-columns</t>
        </is>
      </c>
      <c r="B93">
        <f>COLUMNS(Matrix!A1:C3)</f>
        <v/>
      </c>
      <c r="C93" t="inlineStr">
        <is>
          <t>cached_equal</t>
        </is>
      </c>
      <c r="D93" t="inlineStr">
        <is>
          <t>COLUMNS(Matrix!A1:C3)</t>
        </is>
      </c>
    </row>
    <row r="94">
      <c r="A94" t="inlineStr">
        <is>
          <t>function-hlookup</t>
        </is>
      </c>
      <c r="B94">
        <f>HLOOKUP(4,Lookup!A6:D7,2,TRUE)</f>
        <v/>
      </c>
      <c r="C94" t="inlineStr">
        <is>
          <t>cached_equal</t>
        </is>
      </c>
      <c r="D94" t="inlineStr">
        <is>
          <t>HLOOKUP(4,Lookup!A6:D7,2,TRUE)</t>
        </is>
      </c>
    </row>
    <row r="95">
      <c r="A95" t="inlineStr">
        <is>
          <t>function-index</t>
        </is>
      </c>
      <c r="B95">
        <f>INDEX(Matrix!A1:C3,2,3)</f>
        <v/>
      </c>
      <c r="C95" t="inlineStr">
        <is>
          <t>cached_equal</t>
        </is>
      </c>
      <c r="D95" t="inlineStr">
        <is>
          <t>INDEX(Matrix!A1:C3,2,3)</t>
        </is>
      </c>
    </row>
    <row r="96">
      <c r="A96" t="inlineStr">
        <is>
          <t>function-indirect</t>
        </is>
      </c>
      <c r="B96">
        <f>INDIRECT("Matrix!B2",TRUE)</f>
        <v/>
      </c>
      <c r="C96" t="inlineStr">
        <is>
          <t>cached_equal</t>
        </is>
      </c>
      <c r="D96" t="inlineStr">
        <is>
          <t>INDIRECT("Matrix!B2",TRUE)</t>
        </is>
      </c>
    </row>
    <row r="97">
      <c r="A97" t="inlineStr">
        <is>
          <t>function-lookup</t>
        </is>
      </c>
      <c r="B97">
        <f>LOOKUP(4,Lookup!A1:A4,Lookup!B1:B4)</f>
        <v/>
      </c>
      <c r="C97" t="inlineStr">
        <is>
          <t>cached_equal</t>
        </is>
      </c>
      <c r="D97" t="inlineStr">
        <is>
          <t>LOOKUP(4,Lookup!A1:A4,Lookup!B1:B4)</t>
        </is>
      </c>
    </row>
    <row r="98">
      <c r="A98" t="inlineStr">
        <is>
          <t>function-match</t>
        </is>
      </c>
      <c r="B98">
        <f>MATCH(4,Lookup!A1:A4,1)</f>
        <v/>
      </c>
      <c r="C98" t="inlineStr">
        <is>
          <t>cached_equal</t>
        </is>
      </c>
      <c r="D98" t="inlineStr">
        <is>
          <t>MATCH(4,Lookup!A1:A4,1)</t>
        </is>
      </c>
    </row>
    <row r="99">
      <c r="A99" t="inlineStr">
        <is>
          <t>function-offset</t>
        </is>
      </c>
      <c r="B99">
        <f>SUM(OFFSET(Matrix!A1,1,1,2,2))</f>
        <v/>
      </c>
      <c r="C99" t="inlineStr">
        <is>
          <t>cached_equal</t>
        </is>
      </c>
      <c r="D99" t="inlineStr">
        <is>
          <t>SUM(OFFSET(Matrix!A1,1,1,2,2))</t>
        </is>
      </c>
    </row>
    <row r="100">
      <c r="A100" t="inlineStr">
        <is>
          <t>function-row</t>
        </is>
      </c>
      <c r="B100">
        <f>ROW(Matrix!B2)</f>
        <v/>
      </c>
      <c r="C100" t="inlineStr">
        <is>
          <t>cached_equal</t>
        </is>
      </c>
      <c r="D100" t="inlineStr">
        <is>
          <t>ROW(Matrix!B2)</t>
        </is>
      </c>
    </row>
    <row r="101">
      <c r="A101" t="inlineStr">
        <is>
          <t>function-rows</t>
        </is>
      </c>
      <c r="B101">
        <f>ROWS(Matrix!A1:C3)</f>
        <v/>
      </c>
      <c r="C101" t="inlineStr">
        <is>
          <t>cached_equal</t>
        </is>
      </c>
      <c r="D101" t="inlineStr">
        <is>
          <t>ROWS(Matrix!A1:C3)</t>
        </is>
      </c>
    </row>
    <row r="102">
      <c r="A102" t="inlineStr">
        <is>
          <t>function-vlookup</t>
        </is>
      </c>
      <c r="B102">
        <f>VLOOKUP(4,Lookup!A1:B4,2,TRUE)</f>
        <v/>
      </c>
      <c r="C102" t="inlineStr">
        <is>
          <t>cached_equal</t>
        </is>
      </c>
      <c r="D102" t="inlineStr">
        <is>
          <t>VLOOKUP(4,Lookup!A1:B4,2,TRUE)</t>
        </is>
      </c>
    </row>
    <row r="103">
      <c r="A103" t="inlineStr">
        <is>
          <t>function-xlookup</t>
        </is>
      </c>
      <c r="B103">
        <f>_xlfn.XLOOKUP(5,Lookup!A1:A4,Lookup!B1:B4,"missing",0)</f>
        <v/>
      </c>
      <c r="C103" t="inlineStr">
        <is>
          <t>cached_equal</t>
        </is>
      </c>
      <c r="D103" t="inlineStr">
        <is>
          <t>XLOOKUP(5,Lookup!A1:A4,Lookup!B1:B4,"missing",0)</t>
        </is>
      </c>
    </row>
    <row r="104">
      <c r="A104" t="inlineStr">
        <is>
          <t>function-char</t>
        </is>
      </c>
      <c r="B104">
        <f>CHAR(65)</f>
        <v/>
      </c>
      <c r="C104" t="inlineStr">
        <is>
          <t>cached_equal</t>
        </is>
      </c>
      <c r="D104" t="inlineStr">
        <is>
          <t>CHAR(65)</t>
        </is>
      </c>
    </row>
    <row r="105">
      <c r="A105" t="inlineStr">
        <is>
          <t>function-clean</t>
        </is>
      </c>
      <c r="B105">
        <f>CLEAN("a"&amp;CHAR(9)&amp;"b"&amp;CHAR(10)&amp;"c")</f>
        <v/>
      </c>
      <c r="C105" t="inlineStr">
        <is>
          <t>cached_equal</t>
        </is>
      </c>
      <c r="D105" t="inlineStr">
        <is>
          <t>CLEAN("a"&amp;CHAR(9)&amp;"b"&amp;CHAR(10)&amp;"c")</t>
        </is>
      </c>
    </row>
    <row r="106">
      <c r="A106" t="inlineStr">
        <is>
          <t>function-code</t>
        </is>
      </c>
      <c r="B106">
        <f>CODE("Az")</f>
        <v/>
      </c>
      <c r="C106" t="inlineStr">
        <is>
          <t>cached_equal</t>
        </is>
      </c>
      <c r="D106" t="inlineStr">
        <is>
          <t>CODE("Az")</t>
        </is>
      </c>
    </row>
    <row r="107">
      <c r="A107" t="inlineStr">
        <is>
          <t>function-concat</t>
        </is>
      </c>
      <c r="B107">
        <f>_xlfn.CONCAT(Inputs!C1:C3)</f>
        <v/>
      </c>
      <c r="C107" t="inlineStr">
        <is>
          <t>cached_equal</t>
        </is>
      </c>
      <c r="D107" t="inlineStr">
        <is>
          <t>CONCAT(Inputs!C1:C3)</t>
        </is>
      </c>
    </row>
    <row r="108">
      <c r="A108" t="inlineStr">
        <is>
          <t>function-concatenate</t>
        </is>
      </c>
      <c r="B108">
        <f>CONCATENATE("a",12,TRUE)</f>
        <v/>
      </c>
      <c r="C108" t="inlineStr">
        <is>
          <t>cached_equal</t>
        </is>
      </c>
      <c r="D108" t="inlineStr">
        <is>
          <t>CONCATENATE("a",12,TRUE)</t>
        </is>
      </c>
    </row>
    <row r="109">
      <c r="A109" t="inlineStr">
        <is>
          <t>function-exact</t>
        </is>
      </c>
      <c r="B109">
        <f>EXACT("Abc","abc")</f>
        <v/>
      </c>
      <c r="C109" t="inlineStr">
        <is>
          <t>cached_equal</t>
        </is>
      </c>
      <c r="D109" t="inlineStr">
        <is>
          <t>EXACT("Abc","abc")</t>
        </is>
      </c>
    </row>
    <row r="110">
      <c r="A110" t="inlineStr">
        <is>
          <t>function-find</t>
        </is>
      </c>
      <c r="B110">
        <f>FIND("b","ababa",3)</f>
        <v/>
      </c>
      <c r="C110" t="inlineStr">
        <is>
          <t>cached_equal</t>
        </is>
      </c>
      <c r="D110" t="inlineStr">
        <is>
          <t>FIND("b","ababa",3)</t>
        </is>
      </c>
    </row>
    <row r="111">
      <c r="A111" t="inlineStr">
        <is>
          <t>function-left</t>
        </is>
      </c>
      <c r="B111">
        <f>LEFT("alpha",3)</f>
        <v/>
      </c>
      <c r="C111" t="inlineStr">
        <is>
          <t>cached_equal</t>
        </is>
      </c>
      <c r="D111" t="inlineStr">
        <is>
          <t>LEFT("alpha",3)</t>
        </is>
      </c>
    </row>
    <row r="112">
      <c r="A112" t="inlineStr">
        <is>
          <t>function-len</t>
        </is>
      </c>
      <c r="B112">
        <f>LEN(" alpha ")</f>
        <v/>
      </c>
      <c r="C112" t="inlineStr">
        <is>
          <t>cached_equal</t>
        </is>
      </c>
      <c r="D112" t="inlineStr">
        <is>
          <t>LEN(" alpha ")</t>
        </is>
      </c>
    </row>
    <row r="113">
      <c r="A113" t="inlineStr">
        <is>
          <t>function-lower</t>
        </is>
      </c>
      <c r="B113">
        <f>LOWER("AbC 19")</f>
        <v/>
      </c>
      <c r="C113" t="inlineStr">
        <is>
          <t>cached_equal</t>
        </is>
      </c>
      <c r="D113" t="inlineStr">
        <is>
          <t>LOWER("AbC 19")</t>
        </is>
      </c>
    </row>
    <row r="114">
      <c r="A114" t="inlineStr">
        <is>
          <t>function-mid</t>
        </is>
      </c>
      <c r="B114">
        <f>MID("alphabet",3,4)</f>
        <v/>
      </c>
      <c r="C114" t="inlineStr">
        <is>
          <t>cached_equal</t>
        </is>
      </c>
      <c r="D114" t="inlineStr">
        <is>
          <t>MID("alphabet",3,4)</t>
        </is>
      </c>
    </row>
    <row r="115">
      <c r="A115" t="inlineStr">
        <is>
          <t>function-proper</t>
        </is>
      </c>
      <c r="B115">
        <f>PROPER("o'BRIEN 2ND avenue")</f>
        <v/>
      </c>
      <c r="C115" t="inlineStr">
        <is>
          <t>cached_equal</t>
        </is>
      </c>
      <c r="D115" t="inlineStr">
        <is>
          <t>PROPER("o'BRIEN 2ND avenue")</t>
        </is>
      </c>
    </row>
    <row r="116">
      <c r="A116" t="inlineStr">
        <is>
          <t>function-replace</t>
        </is>
      </c>
      <c r="B116">
        <f>REPLACE("abcdef",2,3,"XY")</f>
        <v/>
      </c>
      <c r="C116" t="inlineStr">
        <is>
          <t>cached_equal</t>
        </is>
      </c>
      <c r="D116" t="inlineStr">
        <is>
          <t>REPLACE("abcdef",2,3,"XY")</t>
        </is>
      </c>
    </row>
    <row r="117">
      <c r="A117" t="inlineStr">
        <is>
          <t>function-rept</t>
        </is>
      </c>
      <c r="B117">
        <f>REPT("ab",3)</f>
        <v/>
      </c>
      <c r="C117" t="inlineStr">
        <is>
          <t>cached_equal</t>
        </is>
      </c>
      <c r="D117" t="inlineStr">
        <is>
          <t>REPT("ab",3)</t>
        </is>
      </c>
    </row>
    <row r="118">
      <c r="A118" t="inlineStr">
        <is>
          <t>function-right</t>
        </is>
      </c>
      <c r="B118">
        <f>RIGHT("alpha",2)</f>
        <v/>
      </c>
      <c r="C118" t="inlineStr">
        <is>
          <t>cached_equal</t>
        </is>
      </c>
      <c r="D118" t="inlineStr">
        <is>
          <t>RIGHT("alpha",2)</t>
        </is>
      </c>
    </row>
    <row r="119">
      <c r="A119" t="inlineStr">
        <is>
          <t>function-search</t>
        </is>
      </c>
      <c r="B119">
        <f>SEARCH("a?c","xxAbCyy")</f>
        <v/>
      </c>
      <c r="C119" t="inlineStr">
        <is>
          <t>cached_equal</t>
        </is>
      </c>
      <c r="D119" t="inlineStr">
        <is>
          <t>SEARCH("a?c","xxAbCyy")</t>
        </is>
      </c>
    </row>
    <row r="120">
      <c r="A120" t="inlineStr">
        <is>
          <t>function-substitute</t>
        </is>
      </c>
      <c r="B120">
        <f>SUBSTITUTE("a-b-a-b","a","X",2)</f>
        <v/>
      </c>
      <c r="C120" t="inlineStr">
        <is>
          <t>cached_equal</t>
        </is>
      </c>
      <c r="D120" t="inlineStr">
        <is>
          <t>SUBSTITUTE("a-b-a-b","a","X",2)</t>
        </is>
      </c>
    </row>
    <row r="121">
      <c r="A121" t="inlineStr">
        <is>
          <t>function-t</t>
        </is>
      </c>
      <c r="B121">
        <f>T(Inputs!C1)</f>
        <v/>
      </c>
      <c r="C121" t="inlineStr">
        <is>
          <t>cached_equal</t>
        </is>
      </c>
      <c r="D121" t="inlineStr">
        <is>
          <t>T(Inputs!C1)</t>
        </is>
      </c>
    </row>
    <row r="122">
      <c r="A122" t="inlineStr">
        <is>
          <t>function-text</t>
        </is>
      </c>
      <c r="B122">
        <f>TEXT(1234.5,"0.00")</f>
        <v/>
      </c>
      <c r="C122" t="inlineStr">
        <is>
          <t>cached_equal</t>
        </is>
      </c>
      <c r="D122" t="inlineStr">
        <is>
          <t>TEXT(1234.5,"0.00")</t>
        </is>
      </c>
    </row>
    <row r="123">
      <c r="A123" t="inlineStr">
        <is>
          <t>function-textjoin</t>
        </is>
      </c>
      <c r="B123">
        <f>_xlfn.TEXTJOIN("|",TRUE,Inputs!C1:C3)</f>
        <v/>
      </c>
      <c r="C123" t="inlineStr">
        <is>
          <t>cached_equal</t>
        </is>
      </c>
      <c r="D123" t="inlineStr">
        <is>
          <t>TEXTJOIN("|",TRUE,Inputs!C1:C3)</t>
        </is>
      </c>
    </row>
    <row r="124">
      <c r="A124" t="inlineStr">
        <is>
          <t>function-trim</t>
        </is>
      </c>
      <c r="B124">
        <f>TRIM("  a   b  ")</f>
        <v/>
      </c>
      <c r="C124" t="inlineStr">
        <is>
          <t>cached_equal</t>
        </is>
      </c>
      <c r="D124" t="inlineStr">
        <is>
          <t>TRIM("  a   b  ")</t>
        </is>
      </c>
    </row>
    <row r="125">
      <c r="A125" t="inlineStr">
        <is>
          <t>function-upper</t>
        </is>
      </c>
      <c r="B125">
        <f>UPPER("Abc 19")</f>
        <v/>
      </c>
      <c r="C125" t="inlineStr">
        <is>
          <t>cached_equal</t>
        </is>
      </c>
      <c r="D125" t="inlineStr">
        <is>
          <t>UPPER("Abc 19")</t>
        </is>
      </c>
    </row>
    <row r="126">
      <c r="A126" t="inlineStr">
        <is>
          <t>function-value</t>
        </is>
      </c>
      <c r="B126">
        <f>VALUE("123.5")</f>
        <v/>
      </c>
      <c r="C126" t="inlineStr">
        <is>
          <t>cached_equal</t>
        </is>
      </c>
      <c r="D126" t="inlineStr">
        <is>
          <t>VALUE("123.5")</t>
        </is>
      </c>
    </row>
    <row r="127">
      <c r="A127" t="inlineStr">
        <is>
          <t>function-date</t>
        </is>
      </c>
      <c r="B127">
        <f>DATE(2024,2,29)</f>
        <v/>
      </c>
      <c r="C127" t="inlineStr">
        <is>
          <t>cached_equal</t>
        </is>
      </c>
      <c r="D127" t="inlineStr">
        <is>
          <t>DATE(2024,2,29)</t>
        </is>
      </c>
    </row>
    <row r="128">
      <c r="A128" t="inlineStr">
        <is>
          <t>function-datevalue</t>
        </is>
      </c>
      <c r="B128">
        <f>DATEVALUE("2024-01-31")</f>
        <v/>
      </c>
      <c r="C128" t="inlineStr">
        <is>
          <t>cached_equal</t>
        </is>
      </c>
      <c r="D128" t="inlineStr">
        <is>
          <t>DATEVALUE("2024-01-31")</t>
        </is>
      </c>
    </row>
    <row r="129">
      <c r="A129" t="inlineStr">
        <is>
          <t>function-day</t>
        </is>
      </c>
      <c r="B129">
        <f>DAY(DATE(2024,2,29))</f>
        <v/>
      </c>
      <c r="C129" t="inlineStr">
        <is>
          <t>cached_equal</t>
        </is>
      </c>
      <c r="D129" t="inlineStr">
        <is>
          <t>DAY(DATE(2024,2,29))</t>
        </is>
      </c>
    </row>
    <row r="130">
      <c r="A130" t="inlineStr">
        <is>
          <t>function-days</t>
        </is>
      </c>
      <c r="B130">
        <f>_xlfn.DAYS(DATE(2024,3,1),DATE(2024,2,28))</f>
        <v/>
      </c>
      <c r="C130" t="inlineStr">
        <is>
          <t>cached_equal</t>
        </is>
      </c>
      <c r="D130" t="inlineStr">
        <is>
          <t>DAYS(DATE(2024,3,1),DATE(2024,2,28))</t>
        </is>
      </c>
    </row>
    <row r="131">
      <c r="A131" t="inlineStr">
        <is>
          <t>function-edate</t>
        </is>
      </c>
      <c r="B131">
        <f>EDATE(DATE(2024,1,31),1)</f>
        <v/>
      </c>
      <c r="C131" t="inlineStr">
        <is>
          <t>cached_equal</t>
        </is>
      </c>
      <c r="D131" t="inlineStr">
        <is>
          <t>EDATE(DATE(2024,1,31),1)</t>
        </is>
      </c>
    </row>
    <row r="132">
      <c r="A132" t="inlineStr">
        <is>
          <t>function-eomonth</t>
        </is>
      </c>
      <c r="B132">
        <f>EOMONTH(DATE(2024,1,15),1)</f>
        <v/>
      </c>
      <c r="C132" t="inlineStr">
        <is>
          <t>cached_equal</t>
        </is>
      </c>
      <c r="D132" t="inlineStr">
        <is>
          <t>EOMONTH(DATE(2024,1,15),1)</t>
        </is>
      </c>
    </row>
    <row r="133">
      <c r="A133" t="inlineStr">
        <is>
          <t>function-hour</t>
        </is>
      </c>
      <c r="B133">
        <f>HOUR(TIME(23,45,30))</f>
        <v/>
      </c>
      <c r="C133" t="inlineStr">
        <is>
          <t>cached_equal</t>
        </is>
      </c>
      <c r="D133" t="inlineStr">
        <is>
          <t>HOUR(TIME(23,45,30))</t>
        </is>
      </c>
    </row>
    <row r="134">
      <c r="A134" t="inlineStr">
        <is>
          <t>function-minute</t>
        </is>
      </c>
      <c r="B134">
        <f>MINUTE(TIME(23,45,30))</f>
        <v/>
      </c>
      <c r="C134" t="inlineStr">
        <is>
          <t>cached_equal</t>
        </is>
      </c>
      <c r="D134" t="inlineStr">
        <is>
          <t>MINUTE(TIME(23,45,30))</t>
        </is>
      </c>
    </row>
    <row r="135">
      <c r="A135" t="inlineStr">
        <is>
          <t>function-month</t>
        </is>
      </c>
      <c r="B135">
        <f>MONTH(DATE(2024,2,29))</f>
        <v/>
      </c>
      <c r="C135" t="inlineStr">
        <is>
          <t>cached_equal</t>
        </is>
      </c>
      <c r="D135" t="inlineStr">
        <is>
          <t>MONTH(DATE(2024,2,29))</t>
        </is>
      </c>
    </row>
    <row r="136">
      <c r="A136" t="inlineStr">
        <is>
          <t>function-now</t>
        </is>
      </c>
      <c r="B136">
        <f>NOW()</f>
        <v/>
      </c>
      <c r="C136" t="inlineStr">
        <is>
          <t>behavior_only</t>
        </is>
      </c>
      <c r="D136" t="inlineStr">
        <is>
          <t>NOW()</t>
        </is>
      </c>
    </row>
    <row r="137">
      <c r="A137" t="inlineStr">
        <is>
          <t>function-second</t>
        </is>
      </c>
      <c r="B137">
        <f>SECOND(TIME(23,45,30))</f>
        <v/>
      </c>
      <c r="C137" t="inlineStr">
        <is>
          <t>cached_equal</t>
        </is>
      </c>
      <c r="D137" t="inlineStr">
        <is>
          <t>SECOND(TIME(23,45,30))</t>
        </is>
      </c>
    </row>
    <row r="138">
      <c r="A138" t="inlineStr">
        <is>
          <t>function-time</t>
        </is>
      </c>
      <c r="B138">
        <f>TIME(25,90,75)</f>
        <v/>
      </c>
      <c r="C138" t="inlineStr">
        <is>
          <t>cached_equal</t>
        </is>
      </c>
      <c r="D138" t="inlineStr">
        <is>
          <t>TIME(25,90,75)</t>
        </is>
      </c>
    </row>
    <row r="139">
      <c r="A139" t="inlineStr">
        <is>
          <t>function-timevalue</t>
        </is>
      </c>
      <c r="B139">
        <f>TIMEVALUE("23:45:30")</f>
        <v/>
      </c>
      <c r="C139" t="inlineStr">
        <is>
          <t>cached_equal</t>
        </is>
      </c>
      <c r="D139" t="inlineStr">
        <is>
          <t>TIMEVALUE("23:45:30")</t>
        </is>
      </c>
    </row>
    <row r="140">
      <c r="A140" t="inlineStr">
        <is>
          <t>function-today</t>
        </is>
      </c>
      <c r="B140">
        <f>TODAY()</f>
        <v/>
      </c>
      <c r="C140" t="inlineStr">
        <is>
          <t>behavior_only</t>
        </is>
      </c>
      <c r="D140" t="inlineStr">
        <is>
          <t>TODAY()</t>
        </is>
      </c>
    </row>
    <row r="141">
      <c r="A141" t="inlineStr">
        <is>
          <t>function-weekday</t>
        </is>
      </c>
      <c r="B141">
        <f>WEEKDAY(61)</f>
        <v/>
      </c>
      <c r="C141" t="inlineStr">
        <is>
          <t>cached_equal</t>
        </is>
      </c>
      <c r="D141" t="inlineStr">
        <is>
          <t>WEEKDAY(61)</t>
        </is>
      </c>
    </row>
    <row r="142">
      <c r="A142" t="inlineStr">
        <is>
          <t>function-year</t>
        </is>
      </c>
      <c r="B142">
        <f>YEAR(DATE(2024,2,29))</f>
        <v/>
      </c>
      <c r="C142" t="inlineStr">
        <is>
          <t>cached_equal</t>
        </is>
      </c>
      <c r="D142" t="inlineStr">
        <is>
          <t>YEAR(DATE(2024,2,29))</t>
        </is>
      </c>
    </row>
    <row r="143">
      <c r="A143" t="inlineStr">
        <is>
          <t>function-error-type</t>
        </is>
      </c>
      <c r="B143">
        <f>ERROR.TYPE(NA())</f>
        <v/>
      </c>
      <c r="C143" t="inlineStr">
        <is>
          <t>cached_equal</t>
        </is>
      </c>
      <c r="D143" t="inlineStr">
        <is>
          <t>ERROR.TYPE(NA())</t>
        </is>
      </c>
    </row>
    <row r="144">
      <c r="A144" t="inlineStr">
        <is>
          <t>function-isblank</t>
        </is>
      </c>
      <c r="B144">
        <f>ISBLANK(Inputs!B5)</f>
        <v/>
      </c>
      <c r="C144" t="inlineStr">
        <is>
          <t>cached_equal</t>
        </is>
      </c>
      <c r="D144" t="inlineStr">
        <is>
          <t>ISBLANK(Inputs!B5)</t>
        </is>
      </c>
    </row>
    <row r="145">
      <c r="A145" t="inlineStr">
        <is>
          <t>function-iserr</t>
        </is>
      </c>
      <c r="B145">
        <f>ISERR(1/0)</f>
        <v/>
      </c>
      <c r="C145" t="inlineStr">
        <is>
          <t>cached_equal</t>
        </is>
      </c>
      <c r="D145" t="inlineStr">
        <is>
          <t>ISERR(1/0)</t>
        </is>
      </c>
    </row>
    <row r="146">
      <c r="A146" t="inlineStr">
        <is>
          <t>function-iserror</t>
        </is>
      </c>
      <c r="B146">
        <f>ISERROR(NA())</f>
        <v/>
      </c>
      <c r="C146" t="inlineStr">
        <is>
          <t>cached_equal</t>
        </is>
      </c>
      <c r="D146" t="inlineStr">
        <is>
          <t>ISERROR(NA())</t>
        </is>
      </c>
    </row>
    <row r="147">
      <c r="A147" t="inlineStr">
        <is>
          <t>function-iseven</t>
        </is>
      </c>
      <c r="B147">
        <f>ISEVEN(-3.9)</f>
        <v/>
      </c>
      <c r="C147" t="inlineStr">
        <is>
          <t>cached_equal</t>
        </is>
      </c>
      <c r="D147" t="inlineStr">
        <is>
          <t>ISEVEN(-3.9)</t>
        </is>
      </c>
    </row>
    <row r="148">
      <c r="A148" t="inlineStr">
        <is>
          <t>function-islogical</t>
        </is>
      </c>
      <c r="B148">
        <f>ISLOGICAL(Inputs!B1)</f>
        <v/>
      </c>
      <c r="C148" t="inlineStr">
        <is>
          <t>cached_equal</t>
        </is>
      </c>
      <c r="D148" t="inlineStr">
        <is>
          <t>ISLOGICAL(Inputs!B1)</t>
        </is>
      </c>
    </row>
    <row r="149">
      <c r="A149" t="inlineStr">
        <is>
          <t>function-isna</t>
        </is>
      </c>
      <c r="B149">
        <f>ISNA(NA())</f>
        <v/>
      </c>
      <c r="C149" t="inlineStr">
        <is>
          <t>cached_equal</t>
        </is>
      </c>
      <c r="D149" t="inlineStr">
        <is>
          <t>ISNA(NA())</t>
        </is>
      </c>
    </row>
    <row r="150">
      <c r="A150" t="inlineStr">
        <is>
          <t>function-isnontext</t>
        </is>
      </c>
      <c r="B150">
        <f>ISNONTEXT(Inputs!B5)</f>
        <v/>
      </c>
      <c r="C150" t="inlineStr">
        <is>
          <t>cached_equal</t>
        </is>
      </c>
      <c r="D150" t="inlineStr">
        <is>
          <t>ISNONTEXT(Inputs!B5)</t>
        </is>
      </c>
    </row>
    <row r="151">
      <c r="A151" t="inlineStr">
        <is>
          <t>function-isnumber</t>
        </is>
      </c>
      <c r="B151">
        <f>ISNUMBER(Inputs!B3)</f>
        <v/>
      </c>
      <c r="C151" t="inlineStr">
        <is>
          <t>cached_equal</t>
        </is>
      </c>
      <c r="D151" t="inlineStr">
        <is>
          <t>ISNUMBER(Inputs!B3)</t>
        </is>
      </c>
    </row>
    <row r="152">
      <c r="A152" t="inlineStr">
        <is>
          <t>function-isodd</t>
        </is>
      </c>
      <c r="B152">
        <f>ISODD(-3.9)</f>
        <v/>
      </c>
      <c r="C152" t="inlineStr">
        <is>
          <t>cached_equal</t>
        </is>
      </c>
      <c r="D152" t="inlineStr">
        <is>
          <t>ISODD(-3.9)</t>
        </is>
      </c>
    </row>
    <row r="153">
      <c r="A153" t="inlineStr">
        <is>
          <t>function-isref</t>
        </is>
      </c>
      <c r="B153">
        <f>ISREF(Matrix!A1)</f>
        <v/>
      </c>
      <c r="C153" t="inlineStr">
        <is>
          <t>cached_equal</t>
        </is>
      </c>
      <c r="D153" t="inlineStr">
        <is>
          <t>ISREF(Matrix!A1)</t>
        </is>
      </c>
    </row>
    <row r="154">
      <c r="A154" t="inlineStr">
        <is>
          <t>function-istext</t>
        </is>
      </c>
      <c r="B154">
        <f>ISTEXT(Inputs!B3)</f>
        <v/>
      </c>
      <c r="C154" t="inlineStr">
        <is>
          <t>cached_equal</t>
        </is>
      </c>
      <c r="D154" t="inlineStr">
        <is>
          <t>ISTEXT(Inputs!B3)</t>
        </is>
      </c>
    </row>
    <row r="155">
      <c r="A155" t="inlineStr">
        <is>
          <t>function-n</t>
        </is>
      </c>
      <c r="B155">
        <f>N(TRUE)</f>
        <v/>
      </c>
      <c r="C155" t="inlineStr">
        <is>
          <t>cached_equal</t>
        </is>
      </c>
      <c r="D155" t="inlineStr">
        <is>
          <t>N(TRUE)</t>
        </is>
      </c>
    </row>
    <row r="156">
      <c r="A156" t="inlineStr">
        <is>
          <t>function-na</t>
        </is>
      </c>
      <c r="B156">
        <f>NA()</f>
        <v/>
      </c>
      <c r="C156" t="inlineStr">
        <is>
          <t>cached_equal</t>
        </is>
      </c>
      <c r="D156" t="inlineStr">
        <is>
          <t>NA()</t>
        </is>
      </c>
    </row>
    <row r="157">
      <c r="A157" t="inlineStr">
        <is>
          <t>function-fv</t>
        </is>
      </c>
      <c r="B157">
        <f>FV(0.05/12,24,-100,-1000,0)</f>
        <v/>
      </c>
      <c r="C157" t="inlineStr">
        <is>
          <t>cached_equal</t>
        </is>
      </c>
      <c r="D157" t="inlineStr">
        <is>
          <t>FV(0.05/12,24,-100,-1000,0)</t>
        </is>
      </c>
    </row>
    <row r="158">
      <c r="A158" t="inlineStr">
        <is>
          <t>function-npv</t>
        </is>
      </c>
      <c r="B158">
        <f>NPV(0.1,Flows!A2:A4)+Flows!A1</f>
        <v/>
      </c>
      <c r="C158" t="inlineStr">
        <is>
          <t>cached_equal</t>
        </is>
      </c>
      <c r="D158" t="inlineStr">
        <is>
          <t>NPV(0.1,Flows!A2:A4)+Flows!A1</t>
        </is>
      </c>
    </row>
    <row r="159">
      <c r="A159" t="inlineStr">
        <is>
          <t>function-pmt</t>
        </is>
      </c>
      <c r="B159">
        <f>PMT(0.05/12,24,1000,0,0)</f>
        <v/>
      </c>
      <c r="C159" t="inlineStr">
        <is>
          <t>cached_equal</t>
        </is>
      </c>
      <c r="D159" t="inlineStr">
        <is>
          <t>PMT(0.05/12,24,1000,0,0)</t>
        </is>
      </c>
    </row>
    <row r="160">
      <c r="A160" t="inlineStr">
        <is>
          <t>function-pv</t>
        </is>
      </c>
      <c r="B160">
        <f>PV(0.05/12,24,-100,0,1)</f>
        <v/>
      </c>
      <c r="C160" t="inlineStr">
        <is>
          <t>cached_equal</t>
        </is>
      </c>
      <c r="D160" t="inlineStr">
        <is>
          <t>PV(0.05/12,24,-100,0,1)</t>
        </is>
      </c>
    </row>
    <row r="161">
      <c r="A161" t="inlineStr">
        <is>
          <t>round-2675</t>
        </is>
      </c>
      <c r="B161">
        <f>ROUND(2.675,2)</f>
        <v/>
      </c>
      <c r="C161" t="inlineStr">
        <is>
          <t>cached_equal</t>
        </is>
      </c>
      <c r="D161" t="inlineStr">
        <is>
          <t>ROUND(2.675,2)</t>
        </is>
      </c>
    </row>
    <row r="162">
      <c r="A162" t="inlineStr">
        <is>
          <t>round-negative-half</t>
        </is>
      </c>
      <c r="B162">
        <f>ROUND(-2.675,2)</f>
        <v/>
      </c>
      <c r="C162" t="inlineStr">
        <is>
          <t>cached_equal</t>
        </is>
      </c>
      <c r="D162" t="inlineStr">
        <is>
          <t>ROUND(-2.675,2)</t>
        </is>
      </c>
    </row>
    <row r="163">
      <c r="A163" t="inlineStr">
        <is>
          <t>decimal-equality</t>
        </is>
      </c>
      <c r="B163">
        <f>0.1+0.2=0.3</f>
        <v/>
      </c>
      <c r="C163" t="inlineStr">
        <is>
          <t>cached_equal</t>
        </is>
      </c>
      <c r="D163" t="inlineStr">
        <is>
          <t>0.1+0.2=0.3</t>
        </is>
      </c>
    </row>
    <row r="164">
      <c r="A164" t="inlineStr">
        <is>
          <t>cancellation</t>
        </is>
      </c>
      <c r="B164">
        <f>1-0.9-0.1</f>
        <v/>
      </c>
      <c r="C164" t="inlineStr">
        <is>
          <t>cached_equal</t>
        </is>
      </c>
      <c r="D164" t="inlineStr">
        <is>
          <t>1-0.9-0.1</t>
        </is>
      </c>
    </row>
    <row r="165">
      <c r="A165" t="inlineStr">
        <is>
          <t>nested-cancellation</t>
        </is>
      </c>
      <c r="B165">
        <f>(1-0.9-0.1)*1000000000000000</f>
        <v/>
      </c>
      <c r="C165" t="inlineStr">
        <is>
          <t>cached_equal</t>
        </is>
      </c>
      <c r="D165" t="inlineStr">
        <is>
          <t>(1-0.9-0.1)*1000000000000000</t>
        </is>
      </c>
    </row>
    <row r="166">
      <c r="A166" t="inlineStr">
        <is>
          <t>unary-power</t>
        </is>
      </c>
      <c r="B166">
        <f>-2^2</f>
        <v/>
      </c>
      <c r="C166" t="inlineStr">
        <is>
          <t>cached_equal</t>
        </is>
      </c>
      <c r="D166" t="inlineStr">
        <is>
          <t>-2^2</t>
        </is>
      </c>
    </row>
    <row r="167">
      <c r="A167" t="inlineStr">
        <is>
          <t>left-power</t>
        </is>
      </c>
      <c r="B167">
        <f>2^3^2</f>
        <v/>
      </c>
      <c r="C167" t="inlineStr">
        <is>
          <t>cached_equal</t>
        </is>
      </c>
      <c r="D167" t="inlineStr">
        <is>
          <t>2^3^2</t>
        </is>
      </c>
    </row>
    <row r="168">
      <c r="A168" t="inlineStr">
        <is>
          <t>percent-unary-power</t>
        </is>
      </c>
      <c r="B168">
        <f>-20%^2</f>
        <v/>
      </c>
      <c r="C168" t="inlineStr">
        <is>
          <t>cached_equal</t>
        </is>
      </c>
      <c r="D168" t="inlineStr">
        <is>
          <t>-20%^2</t>
        </is>
      </c>
    </row>
    <row r="169">
      <c r="A169" t="inlineStr">
        <is>
          <t>divide-zero</t>
        </is>
      </c>
      <c r="B169">
        <f>1/0</f>
        <v/>
      </c>
      <c r="C169" t="inlineStr">
        <is>
          <t>cached_equal</t>
        </is>
      </c>
      <c r="D169" t="inlineStr">
        <is>
          <t>1/0</t>
        </is>
      </c>
    </row>
    <row r="170">
      <c r="A170" t="inlineStr">
        <is>
          <t>zero-power-zero</t>
        </is>
      </c>
      <c r="B170">
        <f>0^0</f>
        <v/>
      </c>
      <c r="C170" t="inlineStr">
        <is>
          <t>cached_equal</t>
        </is>
      </c>
      <c r="D170" t="inlineStr">
        <is>
          <t>0^0</t>
        </is>
      </c>
    </row>
    <row r="171">
      <c r="A171" t="inlineStr">
        <is>
          <t>numeric-overflow</t>
        </is>
      </c>
      <c r="B171">
        <f>(2^1023)*10</f>
        <v/>
      </c>
      <c r="C171" t="inlineStr">
        <is>
          <t>cached_equal</t>
        </is>
      </c>
      <c r="D171" t="inlineStr">
        <is>
          <t>(2^1023)*10</t>
        </is>
      </c>
    </row>
    <row r="172">
      <c r="A172" t="inlineStr">
        <is>
          <t>subnormal-flush</t>
        </is>
      </c>
      <c r="B172">
        <f>2.2250738585072014E-308/2</f>
        <v/>
      </c>
      <c r="C172" t="inlineStr">
        <is>
          <t>cached_equal</t>
        </is>
      </c>
      <c r="D172" t="inlineStr">
        <is>
          <t>2.2250738585072014E-308/2</t>
        </is>
      </c>
    </row>
    <row r="173">
      <c r="A173" t="inlineStr">
        <is>
          <t>sum-direct-coercion</t>
        </is>
      </c>
      <c r="B173">
        <f>SUM(TRUE,"3")</f>
        <v/>
      </c>
      <c r="C173" t="inlineStr">
        <is>
          <t>cached_equal</t>
        </is>
      </c>
      <c r="D173" t="inlineStr">
        <is>
          <t>SUM(TRUE,"3")</t>
        </is>
      </c>
    </row>
    <row r="174">
      <c r="A174" t="inlineStr">
        <is>
          <t>sum-reference-coercion</t>
        </is>
      </c>
      <c r="B174">
        <f>SUM(Inputs!B1:B8)</f>
        <v/>
      </c>
      <c r="C174" t="inlineStr">
        <is>
          <t>cached_equal</t>
        </is>
      </c>
      <c r="D174" t="inlineStr">
        <is>
          <t>SUM(Inputs!B1:B8)</t>
        </is>
      </c>
    </row>
    <row r="175">
      <c r="A175" t="inlineStr">
        <is>
          <t>sum-array-coercion</t>
        </is>
      </c>
      <c r="B175">
        <f>SUM({1,TRUE,"3"})</f>
        <v/>
      </c>
      <c r="C175" t="inlineStr">
        <is>
          <t>cached_equal</t>
        </is>
      </c>
      <c r="D175" t="inlineStr">
        <is>
          <t>SUM({1,TRUE,"3"})</t>
        </is>
      </c>
    </row>
    <row r="176">
      <c r="A176" t="inlineStr">
        <is>
          <t>arithmetic-text</t>
        </is>
      </c>
      <c r="B176">
        <f>"3"+TRUE</f>
        <v/>
      </c>
      <c r="C176" t="inlineStr">
        <is>
          <t>cached_equal</t>
        </is>
      </c>
      <c r="D176" t="inlineStr">
        <is>
          <t>"3"+TRUE</t>
        </is>
      </c>
    </row>
    <row r="177">
      <c r="A177" t="inlineStr">
        <is>
          <t>arithmetic-bad-text</t>
        </is>
      </c>
      <c r="B177">
        <f>"abc"+1</f>
        <v/>
      </c>
      <c r="C177" t="inlineStr">
        <is>
          <t>cached_equal</t>
        </is>
      </c>
      <c r="D177" t="inlineStr">
        <is>
          <t>"abc"+1</t>
        </is>
      </c>
    </row>
    <row r="178">
      <c r="A178" t="inlineStr">
        <is>
          <t>blank-number</t>
        </is>
      </c>
      <c r="B178">
        <f>Inputs!B5+1</f>
        <v/>
      </c>
      <c r="C178" t="inlineStr">
        <is>
          <t>cached_equal</t>
        </is>
      </c>
      <c r="D178" t="inlineStr">
        <is>
          <t>Inputs!B5+1</t>
        </is>
      </c>
    </row>
    <row r="179">
      <c r="A179" t="inlineStr">
        <is>
          <t>blank-string</t>
        </is>
      </c>
      <c r="B179">
        <f>Inputs!B5&amp;"x"</f>
        <v/>
      </c>
      <c r="C179" t="inlineStr">
        <is>
          <t>cached_equal</t>
        </is>
      </c>
      <c r="D179" t="inlineStr">
        <is>
          <t>Inputs!B5&amp;"x"</t>
        </is>
      </c>
    </row>
    <row r="180">
      <c r="A180" t="inlineStr">
        <is>
          <t>blank-equals-empty</t>
        </is>
      </c>
      <c r="B180">
        <f>Inputs!B5=""</f>
        <v/>
      </c>
      <c r="C180" t="inlineStr">
        <is>
          <t>cached_equal</t>
        </is>
      </c>
      <c r="D180" t="inlineStr">
        <is>
          <t>Inputs!B5=""</t>
        </is>
      </c>
    </row>
    <row r="181">
      <c r="A181" t="inlineStr">
        <is>
          <t>empty-formula-isblank</t>
        </is>
      </c>
      <c r="B181">
        <f>ISBLANK(Inputs!B7)</f>
        <v/>
      </c>
      <c r="C181" t="inlineStr">
        <is>
          <t>cached_equal</t>
        </is>
      </c>
      <c r="D181" t="inlineStr">
        <is>
          <t>ISBLANK(Inputs!B7)</t>
        </is>
      </c>
    </row>
    <row r="182">
      <c r="A182" t="inlineStr">
        <is>
          <t>number-text-order</t>
        </is>
      </c>
      <c r="B182">
        <f>1&lt;"0"</f>
        <v/>
      </c>
      <c r="C182" t="inlineStr">
        <is>
          <t>cached_equal</t>
        </is>
      </c>
      <c r="D182" t="inlineStr">
        <is>
          <t>1&lt;"0"</t>
        </is>
      </c>
    </row>
    <row r="183">
      <c r="A183" t="inlineStr">
        <is>
          <t>text-bool-order</t>
        </is>
      </c>
      <c r="B183">
        <f>"z"&lt;FALSE</f>
        <v/>
      </c>
      <c r="C183" t="inlineStr">
        <is>
          <t>cached_equal</t>
        </is>
      </c>
      <c r="D183" t="inlineStr">
        <is>
          <t>"z"&lt;FALSE</t>
        </is>
      </c>
    </row>
    <row r="184">
      <c r="A184" t="inlineStr">
        <is>
          <t>number-bool-order</t>
        </is>
      </c>
      <c r="B184">
        <f>999999&lt;TRUE</f>
        <v/>
      </c>
      <c r="C184" t="inlineStr">
        <is>
          <t>cached_equal</t>
        </is>
      </c>
      <c r="D184" t="inlineStr">
        <is>
          <t>999999&lt;TRUE</t>
        </is>
      </c>
    </row>
    <row r="185">
      <c r="A185" t="inlineStr">
        <is>
          <t>number-text-unequal</t>
        </is>
      </c>
      <c r="B185">
        <f>1="1"</f>
        <v/>
      </c>
      <c r="C185" t="inlineStr">
        <is>
          <t>cached_equal</t>
        </is>
      </c>
      <c r="D185" t="inlineStr">
        <is>
          <t>1="1"</t>
        </is>
      </c>
    </row>
    <row r="186">
      <c r="A186" t="inlineStr">
        <is>
          <t>text-insensitive-equality</t>
        </is>
      </c>
      <c r="B186">
        <f>"AbC"="aBc"</f>
        <v/>
      </c>
      <c r="C186" t="inlineStr">
        <is>
          <t>cached_equal</t>
        </is>
      </c>
      <c r="D186" t="inlineStr">
        <is>
          <t>"AbC"="aBc"</t>
        </is>
      </c>
    </row>
    <row r="187">
      <c r="A187" t="inlineStr">
        <is>
          <t>direct-error-propagation</t>
        </is>
      </c>
      <c r="B187">
        <f>SUM(1,NA())</f>
        <v/>
      </c>
      <c r="C187" t="inlineStr">
        <is>
          <t>cached_equal</t>
        </is>
      </c>
      <c r="D187" t="inlineStr">
        <is>
          <t>SUM(1,NA())</t>
        </is>
      </c>
    </row>
    <row r="188">
      <c r="A188" t="inlineStr">
        <is>
          <t>if-unused-error</t>
        </is>
      </c>
      <c r="B188">
        <f>IF(TRUE,7,1/0)</f>
        <v/>
      </c>
      <c r="C188" t="inlineStr">
        <is>
          <t>cached_equal</t>
        </is>
      </c>
      <c r="D188" t="inlineStr">
        <is>
          <t>IF(TRUE,7,1/0)</t>
        </is>
      </c>
    </row>
    <row r="189">
      <c r="A189" t="inlineStr">
        <is>
          <t>iferror-no-error</t>
        </is>
      </c>
      <c r="B189">
        <f>IFERROR(7,1/0)</f>
        <v/>
      </c>
      <c r="C189" t="inlineStr">
        <is>
          <t>cached_equal</t>
        </is>
      </c>
      <c r="D189" t="inlineStr">
        <is>
          <t>IFERROR(7,1/0)</t>
        </is>
      </c>
    </row>
    <row r="190">
      <c r="A190" t="inlineStr">
        <is>
          <t>ifna-other-error</t>
        </is>
      </c>
      <c r="B190">
        <f>_xlfn.IFNA(1/0,9)</f>
        <v/>
      </c>
      <c r="C190" t="inlineStr">
        <is>
          <t>cached_equal</t>
        </is>
      </c>
      <c r="D190" t="inlineStr">
        <is>
          <t>IFNA(1/0,9)</t>
        </is>
      </c>
    </row>
    <row r="191">
      <c r="A191" t="inlineStr">
        <is>
          <t>choose-unused-error</t>
        </is>
      </c>
      <c r="B191">
        <f>CHOOSE(2,1/0,7)</f>
        <v/>
      </c>
      <c r="C191" t="inlineStr">
        <is>
          <t>cached_equal</t>
        </is>
      </c>
      <c r="D191" t="inlineStr">
        <is>
          <t>CHOOSE(2,1/0,7)</t>
        </is>
      </c>
    </row>
    <row r="192">
      <c r="A192" t="inlineStr">
        <is>
          <t>ifs-unused-error</t>
        </is>
      </c>
      <c r="B192">
        <f>_xlfn.IFS(TRUE,7,TRUE,1/0)</f>
        <v/>
      </c>
      <c r="C192" t="inlineStr">
        <is>
          <t>cached_equal</t>
        </is>
      </c>
      <c r="D192" t="inlineStr">
        <is>
          <t>IFS(TRUE,7,TRUE,1/0)</t>
        </is>
      </c>
    </row>
    <row r="193">
      <c r="A193" t="inlineStr">
        <is>
          <t>switch-default</t>
        </is>
      </c>
      <c r="B193">
        <f>_xlfn.SWITCH(9,1,"one","other")</f>
        <v/>
      </c>
      <c r="C193" t="inlineStr">
        <is>
          <t>cached_equal</t>
        </is>
      </c>
      <c r="D193" t="inlineStr">
        <is>
          <t>SWITCH(9,1,"one","other")</t>
        </is>
      </c>
    </row>
    <row r="194">
      <c r="A194" t="inlineStr">
        <is>
          <t>match-descending</t>
        </is>
      </c>
      <c r="B194">
        <f>MATCH(4,Lookup!D1:D4,-1)</f>
        <v/>
      </c>
      <c r="C194" t="inlineStr">
        <is>
          <t>cached_equal</t>
        </is>
      </c>
      <c r="D194" t="inlineStr">
        <is>
          <t>MATCH(4,Lookup!D1:D4,-1)</t>
        </is>
      </c>
    </row>
    <row r="195">
      <c r="A195" t="inlineStr">
        <is>
          <t>match-exact</t>
        </is>
      </c>
      <c r="B195">
        <f>MATCH(5,Lookup!A1:A4,0)</f>
        <v/>
      </c>
      <c r="C195" t="inlineStr">
        <is>
          <t>cached_equal</t>
        </is>
      </c>
      <c r="D195" t="inlineStr">
        <is>
          <t>MATCH(5,Lookup!A1:A4,0)</t>
        </is>
      </c>
    </row>
    <row r="196">
      <c r="A196" t="inlineStr">
        <is>
          <t>match-wildcard</t>
        </is>
      </c>
      <c r="B196">
        <f>MATCH("a~*b",Inputs!C1:C8,0)</f>
        <v/>
      </c>
      <c r="C196" t="inlineStr">
        <is>
          <t>cached_equal</t>
        </is>
      </c>
      <c r="D196" t="inlineStr">
        <is>
          <t>MATCH("a~*b",Inputs!C1:C8,0)</t>
        </is>
      </c>
    </row>
    <row r="197">
      <c r="A197" t="inlineStr">
        <is>
          <t>vlookup-exact</t>
        </is>
      </c>
      <c r="B197">
        <f>VLOOKUP(5,Lookup!A1:B4,2,FALSE)</f>
        <v/>
      </c>
      <c r="C197" t="inlineStr">
        <is>
          <t>cached_equal</t>
        </is>
      </c>
      <c r="D197" t="inlineStr">
        <is>
          <t>VLOOKUP(5,Lookup!A1:B4,2,FALSE)</t>
        </is>
      </c>
    </row>
    <row r="198">
      <c r="A198" t="inlineStr">
        <is>
          <t>lookup-below-bound</t>
        </is>
      </c>
      <c r="B198">
        <f>LOOKUP(0,Lookup!A1:A4,Lookup!B1:B4)</f>
        <v/>
      </c>
      <c r="C198" t="inlineStr">
        <is>
          <t>cached_equal</t>
        </is>
      </c>
      <c r="D198" t="inlineStr">
        <is>
          <t>LOOKUP(0,Lookup!A1:A4,Lookup!B1:B4)</t>
        </is>
      </c>
    </row>
    <row r="199">
      <c r="A199" t="inlineStr">
        <is>
          <t>xlookup-not-found</t>
        </is>
      </c>
      <c r="B199">
        <f>_xlfn.XLOOKUP(7,Lookup!A1:A4,Lookup!B1:B4,"missing",0)</f>
        <v/>
      </c>
      <c r="C199" t="inlineStr">
        <is>
          <t>cached_equal</t>
        </is>
      </c>
      <c r="D199" t="inlineStr">
        <is>
          <t>XLOOKUP(7,Lookup!A1:A4,Lookup!B1:B4,"missing",0)</t>
        </is>
      </c>
    </row>
    <row r="200">
      <c r="A200" t="inlineStr">
        <is>
          <t>index-reference</t>
        </is>
      </c>
      <c r="B200">
        <f>SUM(INDEX(Matrix!A1:C3,0,2))</f>
        <v/>
      </c>
      <c r="C200" t="inlineStr">
        <is>
          <t>cached_equal</t>
        </is>
      </c>
      <c r="D200" t="inlineStr">
        <is>
          <t>SUM(INDEX(Matrix!A1:C3,0,2))</t>
        </is>
      </c>
    </row>
    <row r="201">
      <c r="A201" t="inlineStr">
        <is>
          <t>offset-negative</t>
        </is>
      </c>
      <c r="B201">
        <f>SUM(OFFSET(Matrix!C3,-2,-2,2,2))</f>
        <v/>
      </c>
      <c r="C201" t="inlineStr">
        <is>
          <t>cached_equal</t>
        </is>
      </c>
      <c r="D201" t="inlineStr">
        <is>
          <t>SUM(OFFSET(Matrix!C3,-2,-2,2,2))</t>
        </is>
      </c>
    </row>
    <row r="202">
      <c r="A202" t="inlineStr">
        <is>
          <t>indirect-built-text</t>
        </is>
      </c>
      <c r="B202">
        <f>INDIRECT("Matrix!"&amp;"B2")</f>
        <v/>
      </c>
      <c r="C202" t="inlineStr">
        <is>
          <t>cached_equal</t>
        </is>
      </c>
      <c r="D202" t="inlineStr">
        <is>
          <t>INDIRECT("Matrix!"&amp;"B2")</t>
        </is>
      </c>
    </row>
    <row r="203">
      <c r="A203" t="inlineStr">
        <is>
          <t>sum-whole-column</t>
        </is>
      </c>
      <c r="B203">
        <f>SUM(Inputs!A:A)</f>
        <v/>
      </c>
      <c r="C203" t="inlineStr">
        <is>
          <t>cached_equal</t>
        </is>
      </c>
      <c r="D203" t="inlineStr">
        <is>
          <t>SUM(Inputs!A:A)</t>
        </is>
      </c>
    </row>
    <row r="204">
      <c r="A204" t="inlineStr">
        <is>
          <t>sum-whole-row</t>
        </is>
      </c>
      <c r="B204">
        <f>SUM(Matrix!1:1)</f>
        <v/>
      </c>
      <c r="C204" t="inlineStr">
        <is>
          <t>cached_equal</t>
        </is>
      </c>
      <c r="D204" t="inlineStr">
        <is>
          <t>SUM(Matrix!1:1)</t>
        </is>
      </c>
    </row>
    <row r="205">
      <c r="A205" t="inlineStr">
        <is>
          <t>sum-union</t>
        </is>
      </c>
      <c r="B205">
        <f>SUM((Matrix!A1:A2,Matrix!C1:C2))</f>
        <v/>
      </c>
      <c r="C205" t="inlineStr">
        <is>
          <t>cached_equal</t>
        </is>
      </c>
      <c r="D205" t="inlineStr">
        <is>
          <t>SUM((Matrix!A1:A2,Matrix!C1:C2))</t>
        </is>
      </c>
    </row>
    <row r="206">
      <c r="A206" t="inlineStr">
        <is>
          <t>sum-intersection</t>
        </is>
      </c>
      <c r="B206">
        <f>SUM(Matrix!A1:C3 Matrix!B2:B3)</f>
        <v/>
      </c>
      <c r="C206" t="inlineStr">
        <is>
          <t>cached_equal</t>
        </is>
      </c>
      <c r="D206" t="inlineStr">
        <is>
          <t>SUM(Matrix!A1:C3 Matrix!B2:B3)</t>
        </is>
      </c>
    </row>
    <row r="207">
      <c r="A207" t="inlineStr">
        <is>
          <t>sum-three-dimensional</t>
        </is>
      </c>
      <c r="B207">
        <f>SUM(Jan:Mar!A1)</f>
        <v/>
      </c>
      <c r="C207" t="inlineStr">
        <is>
          <t>cached_equal</t>
        </is>
      </c>
      <c r="D207" t="inlineStr">
        <is>
          <t>SUM(Jan:Mar!A1)</t>
        </is>
      </c>
    </row>
    <row r="208">
      <c r="A208" t="inlineStr">
        <is>
          <t>name-global-constant</t>
        </is>
      </c>
      <c r="B208">
        <f>GlobalRate*100</f>
        <v/>
      </c>
      <c r="C208" t="inlineStr">
        <is>
          <t>cached_equal</t>
        </is>
      </c>
      <c r="D208" t="inlineStr">
        <is>
          <t>GlobalRate*100</t>
        </is>
      </c>
    </row>
    <row r="209">
      <c r="A209" t="inlineStr">
        <is>
          <t>name-global-range</t>
        </is>
      </c>
      <c r="B209">
        <f>SUM(Numbers)</f>
        <v/>
      </c>
      <c r="C209" t="inlineStr">
        <is>
          <t>cached_equal</t>
        </is>
      </c>
      <c r="D209" t="inlineStr">
        <is>
          <t>SUM(Numbers)</t>
        </is>
      </c>
    </row>
    <row r="210">
      <c r="A210" t="inlineStr">
        <is>
          <t>name-qualified-local</t>
        </is>
      </c>
      <c r="B210">
        <f>Scoped!Rate*100</f>
        <v/>
      </c>
      <c r="C210" t="inlineStr">
        <is>
          <t>cached_equal</t>
        </is>
      </c>
      <c r="D210" t="inlineStr">
        <is>
          <t>Scoped!Rate*100</t>
        </is>
      </c>
    </row>
    <row r="211">
      <c r="A211" t="inlineStr">
        <is>
          <t>sumifs-wildcard-escaped</t>
        </is>
      </c>
      <c r="B211">
        <f>SUMIFS(Inputs!A1:A8,Inputs!C1:C8,"a~*b")</f>
        <v/>
      </c>
      <c r="C211" t="inlineStr">
        <is>
          <t>cached_equal</t>
        </is>
      </c>
      <c r="D211" t="inlineStr">
        <is>
          <t>SUMIFS(Inputs!A1:A8,Inputs!C1:C8,"a~*b")</t>
        </is>
      </c>
    </row>
    <row r="212">
      <c r="A212" t="inlineStr">
        <is>
          <t>countif-question-escaped</t>
        </is>
      </c>
      <c r="B212">
        <f>COUNTIF(Inputs!C1:C8,"A~?b")</f>
        <v/>
      </c>
      <c r="C212" t="inlineStr">
        <is>
          <t>cached_equal</t>
        </is>
      </c>
      <c r="D212" t="inlineStr">
        <is>
          <t>COUNTIF(Inputs!C1:C8,"A~?b")</t>
        </is>
      </c>
    </row>
    <row r="213">
      <c r="A213" t="inlineStr">
        <is>
          <t>countif-tilde-escaped</t>
        </is>
      </c>
      <c r="B213">
        <f>COUNTIF(Inputs!C1:C8,"~~")</f>
        <v/>
      </c>
      <c r="C213" t="inlineStr">
        <is>
          <t>cached_equal</t>
        </is>
      </c>
      <c r="D213" t="inlineStr">
        <is>
          <t>COUNTIF(Inputs!C1:C8,"~~")</t>
        </is>
      </c>
    </row>
    <row r="214">
      <c r="A214" t="inlineStr">
        <is>
          <t>countif-relational</t>
        </is>
      </c>
      <c r="B214">
        <f>COUNTIF(Inputs!A1:A8,"&gt;=8")</f>
        <v/>
      </c>
      <c r="C214" t="inlineStr">
        <is>
          <t>cached_equal</t>
        </is>
      </c>
      <c r="D214" t="inlineStr">
        <is>
          <t>COUNTIF(Inputs!A1:A8,"&gt;=8")</t>
        </is>
      </c>
    </row>
    <row r="215">
      <c r="A215" t="inlineStr">
        <is>
          <t>countif-not-equal</t>
        </is>
      </c>
      <c r="B215">
        <f>COUNTIF(Inputs!D1:D8,"&lt;&gt;red")</f>
        <v/>
      </c>
      <c r="C215" t="inlineStr">
        <is>
          <t>cached_equal</t>
        </is>
      </c>
      <c r="D215" t="inlineStr">
        <is>
          <t>COUNTIF(Inputs!D1:D8,"&lt;&gt;red")</t>
        </is>
      </c>
    </row>
    <row r="216">
      <c r="A216" t="inlineStr">
        <is>
          <t>countif-empty</t>
        </is>
      </c>
      <c r="B216">
        <f>COUNTIF(Inputs!B1:B8,"")</f>
        <v/>
      </c>
      <c r="C216" t="inlineStr">
        <is>
          <t>cached_equal</t>
        </is>
      </c>
      <c r="D216" t="inlineStr">
        <is>
          <t>COUNTIF(Inputs!B1:B8,"")</t>
        </is>
      </c>
    </row>
    <row r="217">
      <c r="A217" t="inlineStr">
        <is>
          <t>sumifs-dimension-error</t>
        </is>
      </c>
      <c r="B217">
        <f>SUMIFS(Inputs!A1:A8,Inputs!C1:C7,"a*")</f>
        <v/>
      </c>
      <c r="C217" t="inlineStr">
        <is>
          <t>cached_equal</t>
        </is>
      </c>
      <c r="D217" t="inlineStr">
        <is>
          <t>SUMIFS(Inputs!A1:A8,Inputs!C1:C7,"a*")</t>
        </is>
      </c>
    </row>
    <row r="218">
      <c r="A218" t="inlineStr">
        <is>
          <t>averageif-no-match</t>
        </is>
      </c>
      <c r="B218">
        <f>AVERAGEIF(Inputs!C1:C8,"not-there",Inputs!A1:A8)</f>
        <v/>
      </c>
      <c r="C218" t="inlineStr">
        <is>
          <t>cached_equal</t>
        </is>
      </c>
      <c r="D218" t="inlineStr">
        <is>
          <t>AVERAGEIF(Inputs!C1:C8,"not-there",Inputs!A1:A8)</t>
        </is>
      </c>
    </row>
    <row r="219">
      <c r="A219" t="inlineStr">
        <is>
          <t>sumproduct-dimension-error</t>
        </is>
      </c>
      <c r="B219">
        <f>SUMPRODUCT(Inputs!A1:A8,Inputs!E1:E7)</f>
        <v/>
      </c>
      <c r="C219" t="inlineStr">
        <is>
          <t>cached_equal</t>
        </is>
      </c>
      <c r="D219" t="inlineStr">
        <is>
          <t>SUMPRODUCT(Inputs!A1:A8,Inputs!E1:E7)</t>
        </is>
      </c>
    </row>
    <row r="220">
      <c r="A220" t="inlineStr">
        <is>
          <t>stdev-one-sample</t>
        </is>
      </c>
      <c r="B220">
        <f>_xlfn.STDEV.S(7)</f>
        <v/>
      </c>
      <c r="C220" t="inlineStr">
        <is>
          <t>cached_equal</t>
        </is>
      </c>
      <c r="D220" t="inlineStr">
        <is>
          <t>STDEV.S(7)</t>
        </is>
      </c>
    </row>
    <row r="221">
      <c r="A221" t="inlineStr">
        <is>
          <t>variance-large-offset</t>
        </is>
      </c>
      <c r="B221">
        <f>_xlfn.VAR.S(Stability!A1:A4)</f>
        <v/>
      </c>
      <c r="C221" t="inlineStr">
        <is>
          <t>cached_equal</t>
        </is>
      </c>
      <c r="D221" t="inlineStr">
        <is>
          <t>VAR.S(Stability!A1:A4)</t>
        </is>
      </c>
    </row>
    <row r="222">
      <c r="A222" t="inlineStr">
        <is>
          <t>mode-no-mode</t>
        </is>
      </c>
      <c r="B222">
        <f>_xlfn.MODE.SNGL(Matrix!A1:C3)</f>
        <v/>
      </c>
      <c r="C222" t="inlineStr">
        <is>
          <t>cached_equal</t>
        </is>
      </c>
      <c r="D222" t="inlineStr">
        <is>
          <t>MODE.SNGL(Matrix!A1:C3)</t>
        </is>
      </c>
    </row>
    <row r="223">
      <c r="A223" t="inlineStr">
        <is>
          <t>percentile-lower</t>
        </is>
      </c>
      <c r="B223">
        <f>_xlfn.PERCENTILE.INC(Inputs!A1:A8,0)</f>
        <v/>
      </c>
      <c r="C223" t="inlineStr">
        <is>
          <t>cached_equal</t>
        </is>
      </c>
      <c r="D223" t="inlineStr">
        <is>
          <t>PERCENTILE.INC(Inputs!A1:A8,0)</t>
        </is>
      </c>
    </row>
    <row r="224">
      <c r="A224" t="inlineStr">
        <is>
          <t>percentile-upper</t>
        </is>
      </c>
      <c r="B224">
        <f>_xlfn.PERCENTILE.INC(Inputs!A1:A8,1)</f>
        <v/>
      </c>
      <c r="C224" t="inlineStr">
        <is>
          <t>cached_equal</t>
        </is>
      </c>
      <c r="D224" t="inlineStr">
        <is>
          <t>PERCENTILE.INC(Inputs!A1:A8,1)</t>
        </is>
      </c>
    </row>
    <row r="225">
      <c r="A225" t="inlineStr">
        <is>
          <t>rank-duplicate</t>
        </is>
      </c>
      <c r="B225">
        <f>_xlfn.RANK.EQ(4,Inputs!A1:A8,0)</f>
        <v/>
      </c>
      <c r="C225" t="inlineStr">
        <is>
          <t>cached_equal</t>
        </is>
      </c>
      <c r="D225" t="inlineStr">
        <is>
          <t>RANK.EQ(4,Inputs!A1:A8,0)</t>
        </is>
      </c>
    </row>
    <row r="226">
      <c r="A226" t="inlineStr">
        <is>
          <t>text-number</t>
        </is>
      </c>
      <c r="B226">
        <f>TEXT(0.125,"0.00%")</f>
        <v/>
      </c>
      <c r="C226" t="inlineStr">
        <is>
          <t>cached_equal</t>
        </is>
      </c>
      <c r="D226" t="inlineStr">
        <is>
          <t>TEXT(0.125,"0.00%")</t>
        </is>
      </c>
    </row>
    <row r="227">
      <c r="A227" t="inlineStr">
        <is>
          <t>text-currency</t>
        </is>
      </c>
      <c r="B227">
        <f>TEXT(-1234.5,"$#,##0.00;($#,##0.00)")</f>
        <v/>
      </c>
      <c r="C227" t="inlineStr">
        <is>
          <t>cached_equal</t>
        </is>
      </c>
      <c r="D227" t="inlineStr">
        <is>
          <t>TEXT(-1234.5,"$#,##0.00;($#,##0.00)")</t>
        </is>
      </c>
    </row>
    <row r="228">
      <c r="A228" t="inlineStr">
        <is>
          <t>text-date</t>
        </is>
      </c>
      <c r="B228">
        <f>TEXT(DATE(2024,1,31),"yyyy-mm-dd")</f>
        <v/>
      </c>
      <c r="C228" t="inlineStr">
        <is>
          <t>cached_equal</t>
        </is>
      </c>
      <c r="D228" t="inlineStr">
        <is>
          <t>TEXT(DATE(2024,1,31),"yyyy-mm-dd")</t>
        </is>
      </c>
    </row>
    <row r="229">
      <c r="A229" t="inlineStr">
        <is>
          <t>text-escaped-quote</t>
        </is>
      </c>
      <c r="B229">
        <f>SUBSTITUTE("a""b","""","!")</f>
        <v/>
      </c>
      <c r="C229" t="inlineStr">
        <is>
          <t>cached_equal</t>
        </is>
      </c>
      <c r="D229" t="inlineStr">
        <is>
          <t>SUBSTITUTE("a""b","""","!")</t>
        </is>
      </c>
    </row>
    <row r="230">
      <c r="A230" t="inlineStr">
        <is>
          <t>value-percent</t>
        </is>
      </c>
      <c r="B230">
        <f>VALUE("12.5%")</f>
        <v/>
      </c>
      <c r="C230" t="inlineStr">
        <is>
          <t>cached_equal</t>
        </is>
      </c>
      <c r="D230" t="inlineStr">
        <is>
          <t>VALUE("12.5%")</t>
        </is>
      </c>
    </row>
    <row r="231">
      <c r="A231" t="inlineStr">
        <is>
          <t>value-grouping</t>
        </is>
      </c>
      <c r="B231">
        <f>VALUE("1,234.50")</f>
        <v/>
      </c>
      <c r="C231" t="inlineStr">
        <is>
          <t>cached_equal</t>
        </is>
      </c>
      <c r="D231" t="inlineStr">
        <is>
          <t>VALUE("1,234.50")</t>
        </is>
      </c>
    </row>
    <row r="232">
      <c r="A232" t="inlineStr">
        <is>
          <t>rept-too-long</t>
        </is>
      </c>
      <c r="B232">
        <f>REPT("x",32768)</f>
        <v/>
      </c>
      <c r="C232" t="inlineStr">
        <is>
          <t>cached_equal</t>
        </is>
      </c>
      <c r="D232" t="inlineStr">
        <is>
          <t>REPT("x",32768)</t>
        </is>
      </c>
    </row>
    <row r="233">
      <c r="A233" t="inlineStr">
        <is>
          <t>pmt-zero-rate</t>
        </is>
      </c>
      <c r="B233">
        <f>PMT(0,4,100,0,0)</f>
        <v/>
      </c>
      <c r="C233" t="inlineStr">
        <is>
          <t>cached_equal</t>
        </is>
      </c>
      <c r="D233" t="inlineStr">
        <is>
          <t>PMT(0,4,100,0,0)</t>
        </is>
      </c>
    </row>
    <row r="234">
      <c r="A234" t="inlineStr">
        <is>
          <t>pmt-beginning</t>
        </is>
      </c>
      <c r="B234">
        <f>PMT(0.01,12,1000,0,1)</f>
        <v/>
      </c>
      <c r="C234" t="inlineStr">
        <is>
          <t>cached_equal</t>
        </is>
      </c>
      <c r="D234" t="inlineStr">
        <is>
          <t>PMT(0.01,12,1000,0,1)</t>
        </is>
      </c>
    </row>
    <row r="235">
      <c r="A235" t="inlineStr">
        <is>
          <t>pv-zero-rate</t>
        </is>
      </c>
      <c r="B235">
        <f>PV(0,4,-25,0,0)</f>
        <v/>
      </c>
      <c r="C235" t="inlineStr">
        <is>
          <t>cached_equal</t>
        </is>
      </c>
      <c r="D235" t="inlineStr">
        <is>
          <t>PV(0,4,-25,0,0)</t>
        </is>
      </c>
    </row>
    <row r="236">
      <c r="A236" t="inlineStr">
        <is>
          <t>fv-zero-rate</t>
        </is>
      </c>
      <c r="B236">
        <f>FV(0,4,-25,-100,1)</f>
        <v/>
      </c>
      <c r="C236" t="inlineStr">
        <is>
          <t>cached_equal</t>
        </is>
      </c>
      <c r="D236" t="inlineStr">
        <is>
          <t>FV(0,4,-25,-100,1)</t>
        </is>
      </c>
    </row>
    <row r="237">
      <c r="A237" t="inlineStr">
        <is>
          <t>npv-zero-rate</t>
        </is>
      </c>
      <c r="B237">
        <f>NPV(0,Flows!A2:A4)+Flows!A1</f>
        <v/>
      </c>
      <c r="C237" t="inlineStr">
        <is>
          <t>cached_equal</t>
        </is>
      </c>
      <c r="D237" t="inlineStr">
        <is>
          <t>NPV(0,Flows!A2:A4)+Flows!A1</t>
        </is>
      </c>
    </row>
    <row r="238">
      <c r="A238" t="inlineStr">
        <is>
          <t>phantom-date-1900</t>
        </is>
      </c>
      <c r="B238">
        <f>DATE(1900,2,29)</f>
        <v/>
      </c>
      <c r="C238" t="inlineStr">
        <is>
          <t>cached_equal</t>
        </is>
      </c>
      <c r="D238" t="inlineStr">
        <is>
          <t>DATE(1900,2,29)</t>
        </is>
      </c>
    </row>
    <row r="239">
      <c r="A239" t="inlineStr">
        <is>
          <t>phantom-day-1900</t>
        </is>
      </c>
      <c r="B239">
        <f>DAY(60)</f>
        <v/>
      </c>
      <c r="C239" t="inlineStr">
        <is>
          <t>cached_equal</t>
        </is>
      </c>
      <c r="D239" t="inlineStr">
        <is>
          <t>DAY(60)</t>
        </is>
      </c>
    </row>
    <row r="240">
      <c r="A240" t="inlineStr">
        <is>
          <t>phantom-month-1900</t>
        </is>
      </c>
      <c r="B240">
        <f>MONTH(60)</f>
        <v/>
      </c>
      <c r="C240" t="inlineStr">
        <is>
          <t>cached_equal</t>
        </is>
      </c>
      <c r="D240" t="inlineStr">
        <is>
          <t>MONTH(60)</t>
        </is>
      </c>
    </row>
    <row r="241">
      <c r="A241" t="inlineStr">
        <is>
          <t>phantom-year-1900</t>
        </is>
      </c>
      <c r="B241">
        <f>YEAR(60)</f>
        <v/>
      </c>
      <c r="C241" t="inlineStr">
        <is>
          <t>cached_equal</t>
        </is>
      </c>
      <c r="D241" t="inlineStr">
        <is>
          <t>YEAR(60)</t>
        </is>
      </c>
    </row>
    <row r="242">
      <c r="A242" t="inlineStr">
        <is>
          <t>weekday-61-1900</t>
        </is>
      </c>
      <c r="B242">
        <f>WEEKDAY(61)</f>
        <v/>
      </c>
      <c r="C242" t="inlineStr">
        <is>
          <t>cached_equal</t>
        </is>
      </c>
      <c r="D242" t="inlineStr">
        <is>
          <t>WEEKDAY(61)</t>
        </is>
      </c>
    </row>
    <row r="243">
      <c r="A243" t="inlineStr">
        <is>
          <t>weekday-monday-1900</t>
        </is>
      </c>
      <c r="B243">
        <f>WEEKDAY(61,2)</f>
        <v/>
      </c>
      <c r="C243" t="inlineStr">
        <is>
          <t>cached_equal</t>
        </is>
      </c>
      <c r="D243" t="inlineStr">
        <is>
          <t>WEEKDAY(61,2)</t>
        </is>
      </c>
    </row>
    <row r="244">
      <c r="A244" t="inlineStr">
        <is>
          <t>date-month-overflow-1900</t>
        </is>
      </c>
      <c r="B244">
        <f>DATE(2024,14,0)</f>
        <v/>
      </c>
      <c r="C244" t="inlineStr">
        <is>
          <t>cached_equal</t>
        </is>
      </c>
      <c r="D244" t="inlineStr">
        <is>
          <t>DATE(2024,14,0)</t>
        </is>
      </c>
    </row>
    <row r="245">
      <c r="A245" t="inlineStr">
        <is>
          <t>date-day-negative-1900</t>
        </is>
      </c>
      <c r="B245">
        <f>DATE(2024,3,-1)</f>
        <v/>
      </c>
      <c r="C245" t="inlineStr">
        <is>
          <t>cached_equal</t>
        </is>
      </c>
      <c r="D245" t="inlineStr">
        <is>
          <t>DATE(2024,3,-1)</t>
        </is>
      </c>
    </row>
    <row r="246">
      <c r="A246" t="inlineStr">
        <is>
          <t>date-short-year-1900</t>
        </is>
      </c>
      <c r="B246">
        <f>DATE(24,1,1)</f>
        <v/>
      </c>
      <c r="C246" t="inlineStr">
        <is>
          <t>cached_equal</t>
        </is>
      </c>
      <c r="D246" t="inlineStr">
        <is>
          <t>DATE(24,1,1)</t>
        </is>
      </c>
    </row>
    <row r="247">
      <c r="A247" t="inlineStr">
        <is>
          <t>date-1904-origin-1900</t>
        </is>
      </c>
      <c r="B247">
        <f>DATE(1904,1,1)</f>
        <v/>
      </c>
      <c r="C247" t="inlineStr">
        <is>
          <t>cached_equal</t>
        </is>
      </c>
      <c r="D247" t="inlineStr">
        <is>
          <t>DATE(1904,1,1)</t>
        </is>
      </c>
    </row>
    <row r="248">
      <c r="A248" t="inlineStr">
        <is>
          <t>edate-leap-back-1900</t>
        </is>
      </c>
      <c r="B248">
        <f>EDATE(DATE(2024,3,31),-1)</f>
        <v/>
      </c>
      <c r="C248" t="inlineStr">
        <is>
          <t>cached_equal</t>
        </is>
      </c>
      <c r="D248" t="inlineStr">
        <is>
          <t>EDATE(DATE(2024,3,31),-1)</t>
        </is>
      </c>
    </row>
    <row r="249">
      <c r="A249" t="inlineStr">
        <is>
          <t>eomonth-year-back-1900</t>
        </is>
      </c>
      <c r="B249">
        <f>EOMONTH(DATE(2024,1,1),-1)</f>
        <v/>
      </c>
      <c r="C249" t="inlineStr">
        <is>
          <t>cached_equal</t>
        </is>
      </c>
      <c r="D249" t="inlineStr">
        <is>
          <t>EOMONTH(DATE(2024,1,1),-1)</t>
        </is>
      </c>
    </row>
    <row r="250">
      <c r="A250" t="inlineStr">
        <is>
          <t>styled-serial-59-1900</t>
        </is>
      </c>
      <c r="B250">
        <f>Inputs!F1+0</f>
        <v/>
      </c>
      <c r="C250" t="inlineStr">
        <is>
          <t>cached_equal</t>
        </is>
      </c>
      <c r="D250" t="inlineStr">
        <is>
          <t>Inputs!F1+0</t>
        </is>
      </c>
    </row>
    <row r="251">
      <c r="A251" t="inlineStr">
        <is>
          <t>styled-serial-60-1900</t>
        </is>
      </c>
      <c r="B251">
        <f>Inputs!F2+0</f>
        <v/>
      </c>
      <c r="C251" t="inlineStr">
        <is>
          <t>cached_equal</t>
        </is>
      </c>
      <c r="D251" t="inlineStr">
        <is>
          <t>Inputs!F2+0</t>
        </is>
      </c>
    </row>
    <row r="252">
      <c r="A252" t="inlineStr">
        <is>
          <t>styled-serial-61-1900</t>
        </is>
      </c>
      <c r="B252">
        <f>Inputs!F3+0</f>
        <v/>
      </c>
      <c r="C252" t="inlineStr">
        <is>
          <t>cached_equal</t>
        </is>
      </c>
      <c r="D252" t="inlineStr">
        <is>
          <t>Inputs!F3+0</t>
        </is>
      </c>
    </row>
    <row r="253">
      <c r="A253" t="inlineStr">
        <is>
          <t>styled-serial-60-day-1900</t>
        </is>
      </c>
      <c r="B253">
        <f>DAY(Inputs!F2)</f>
        <v/>
      </c>
      <c r="C253" t="inlineStr">
        <is>
          <t>cached_equal</t>
        </is>
      </c>
      <c r="D253" t="inlineStr">
        <is>
          <t>DAY(Inputs!F2)</t>
        </is>
      </c>
    </row>
    <row r="254">
      <c r="A254" t="inlineStr">
        <is>
          <t>styled-submillisecond-time-1900</t>
        </is>
      </c>
      <c r="B254">
        <f>Inputs!F4+0</f>
        <v/>
      </c>
      <c r="C254" t="inlineStr">
        <is>
          <t>cached_equal</t>
        </is>
      </c>
      <c r="D254" t="inlineStr">
        <is>
          <t>Inputs!F4+0</t>
        </is>
      </c>
    </row>
    <row r="255">
      <c r="A255" t="inlineStr">
        <is>
          <t>styled-submillisecond-seconds-1900</t>
        </is>
      </c>
      <c r="B255">
        <f>Inputs!F4*86400</f>
        <v/>
      </c>
      <c r="C255" t="inlineStr">
        <is>
          <t>cached_equal</t>
        </is>
      </c>
      <c r="D255" t="inlineStr">
        <is>
          <t>Inputs!F4*86400</t>
        </is>
      </c>
    </row>
    <row r="256">
      <c r="A256" t="inlineStr">
        <is>
          <t>styled-submillisecond-datetime-1900</t>
        </is>
      </c>
      <c r="B256">
        <f>Inputs!F5+0</f>
        <v/>
      </c>
      <c r="C256" t="inlineStr">
        <is>
          <t>cached_equal</t>
        </is>
      </c>
      <c r="D256" t="inlineStr">
        <is>
          <t>Inputs!F5+0</t>
        </is>
      </c>
    </row>
    <row r="257">
      <c r="A257" t="inlineStr">
        <is>
          <t>time-negative-1900</t>
        </is>
      </c>
      <c r="B257">
        <f>TIME(-1,0,0)</f>
        <v/>
      </c>
      <c r="C257" t="inlineStr">
        <is>
          <t>cached_equal</t>
        </is>
      </c>
      <c r="D257" t="inlineStr">
        <is>
          <t>TIME(-1,0,0)</t>
        </is>
      </c>
    </row>
    <row r="258">
      <c r="A258" t="inlineStr">
        <is>
          <t>time-fraction-1900</t>
        </is>
      </c>
      <c r="B258">
        <f>TIME(1,2,3)</f>
        <v/>
      </c>
      <c r="C258" t="inlineStr">
        <is>
          <t>cached_equal</t>
        </is>
      </c>
      <c r="D258" t="inlineStr">
        <is>
          <t>TIME(1,2,3)</t>
        </is>
      </c>
    </row>
    <row r="259">
      <c r="A259" t="inlineStr">
        <is>
          <t>subtotal-hidden-nested-1</t>
        </is>
      </c>
      <c r="B259">
        <f>SUBTOTAL(1,Hidden!A1:A8)</f>
        <v/>
      </c>
      <c r="C259" t="inlineStr">
        <is>
          <t>cached_equal</t>
        </is>
      </c>
      <c r="D259" t="inlineStr">
        <is>
          <t>SUBTOTAL(1,Hidden!A1:A8)</t>
        </is>
      </c>
    </row>
    <row r="260">
      <c r="A260" t="inlineStr">
        <is>
          <t>subtotal-hidden-nested-2</t>
        </is>
      </c>
      <c r="B260">
        <f>SUBTOTAL(2,Hidden!A1:A8)</f>
        <v/>
      </c>
      <c r="C260" t="inlineStr">
        <is>
          <t>cached_equal</t>
        </is>
      </c>
      <c r="D260" t="inlineStr">
        <is>
          <t>SUBTOTAL(2,Hidden!A1:A8)</t>
        </is>
      </c>
    </row>
    <row r="261">
      <c r="A261" t="inlineStr">
        <is>
          <t>subtotal-hidden-nested-3</t>
        </is>
      </c>
      <c r="B261">
        <f>SUBTOTAL(3,Hidden!A1:A8)</f>
        <v/>
      </c>
      <c r="C261" t="inlineStr">
        <is>
          <t>cached_equal</t>
        </is>
      </c>
      <c r="D261" t="inlineStr">
        <is>
          <t>SUBTOTAL(3,Hidden!A1:A8)</t>
        </is>
      </c>
    </row>
    <row r="262">
      <c r="A262" t="inlineStr">
        <is>
          <t>subtotal-hidden-nested-4</t>
        </is>
      </c>
      <c r="B262">
        <f>SUBTOTAL(4,Hidden!A1:A8)</f>
        <v/>
      </c>
      <c r="C262" t="inlineStr">
        <is>
          <t>cached_equal</t>
        </is>
      </c>
      <c r="D262" t="inlineStr">
        <is>
          <t>SUBTOTAL(4,Hidden!A1:A8)</t>
        </is>
      </c>
    </row>
    <row r="263">
      <c r="A263" t="inlineStr">
        <is>
          <t>subtotal-hidden-nested-5</t>
        </is>
      </c>
      <c r="B263">
        <f>SUBTOTAL(5,Hidden!A1:A8)</f>
        <v/>
      </c>
      <c r="C263" t="inlineStr">
        <is>
          <t>cached_equal</t>
        </is>
      </c>
      <c r="D263" t="inlineStr">
        <is>
          <t>SUBTOTAL(5,Hidden!A1:A8)</t>
        </is>
      </c>
    </row>
    <row r="264">
      <c r="A264" t="inlineStr">
        <is>
          <t>subtotal-hidden-nested-6</t>
        </is>
      </c>
      <c r="B264">
        <f>SUBTOTAL(6,Hidden!A1:A8)</f>
        <v/>
      </c>
      <c r="C264" t="inlineStr">
        <is>
          <t>cached_equal</t>
        </is>
      </c>
      <c r="D264" t="inlineStr">
        <is>
          <t>SUBTOTAL(6,Hidden!A1:A8)</t>
        </is>
      </c>
    </row>
    <row r="265">
      <c r="A265" t="inlineStr">
        <is>
          <t>subtotal-hidden-nested-7</t>
        </is>
      </c>
      <c r="B265">
        <f>SUBTOTAL(7,Hidden!A1:A8)</f>
        <v/>
      </c>
      <c r="C265" t="inlineStr">
        <is>
          <t>cached_equal</t>
        </is>
      </c>
      <c r="D265" t="inlineStr">
        <is>
          <t>SUBTOTAL(7,Hidden!A1:A8)</t>
        </is>
      </c>
    </row>
    <row r="266">
      <c r="A266" t="inlineStr">
        <is>
          <t>subtotal-hidden-nested-8</t>
        </is>
      </c>
      <c r="B266">
        <f>SUBTOTAL(8,Hidden!A1:A8)</f>
        <v/>
      </c>
      <c r="C266" t="inlineStr">
        <is>
          <t>cached_equal</t>
        </is>
      </c>
      <c r="D266" t="inlineStr">
        <is>
          <t>SUBTOTAL(8,Hidden!A1:A8)</t>
        </is>
      </c>
    </row>
    <row r="267">
      <c r="A267" t="inlineStr">
        <is>
          <t>subtotal-hidden-nested-9</t>
        </is>
      </c>
      <c r="B267">
        <f>SUBTOTAL(9,Hidden!A1:A8)</f>
        <v/>
      </c>
      <c r="C267" t="inlineStr">
        <is>
          <t>cached_equal</t>
        </is>
      </c>
      <c r="D267" t="inlineStr">
        <is>
          <t>SUBTOTAL(9,Hidden!A1:A8)</t>
        </is>
      </c>
    </row>
    <row r="268">
      <c r="A268" t="inlineStr">
        <is>
          <t>subtotal-hidden-nested-10</t>
        </is>
      </c>
      <c r="B268">
        <f>SUBTOTAL(10,Hidden!A1:A8)</f>
        <v/>
      </c>
      <c r="C268" t="inlineStr">
        <is>
          <t>cached_equal</t>
        </is>
      </c>
      <c r="D268" t="inlineStr">
        <is>
          <t>SUBTOTAL(10,Hidden!A1:A8)</t>
        </is>
      </c>
    </row>
    <row r="269">
      <c r="A269" t="inlineStr">
        <is>
          <t>subtotal-hidden-nested-11</t>
        </is>
      </c>
      <c r="B269">
        <f>SUBTOTAL(11,Hidden!A1:A8)</f>
        <v/>
      </c>
      <c r="C269" t="inlineStr">
        <is>
          <t>cached_equal</t>
        </is>
      </c>
      <c r="D269" t="inlineStr">
        <is>
          <t>SUBTOTAL(11,Hidden!A1:A8)</t>
        </is>
      </c>
    </row>
    <row r="270">
      <c r="A270" t="inlineStr">
        <is>
          <t>subtotal-hidden-nested-101</t>
        </is>
      </c>
      <c r="B270">
        <f>SUBTOTAL(101,Hidden!A1:A8)</f>
        <v/>
      </c>
      <c r="C270" t="inlineStr">
        <is>
          <t>cached_equal</t>
        </is>
      </c>
      <c r="D270" t="inlineStr">
        <is>
          <t>SUBTOTAL(101,Hidden!A1:A8)</t>
        </is>
      </c>
    </row>
    <row r="271">
      <c r="A271" t="inlineStr">
        <is>
          <t>subtotal-hidden-nested-102</t>
        </is>
      </c>
      <c r="B271">
        <f>SUBTOTAL(102,Hidden!A1:A8)</f>
        <v/>
      </c>
      <c r="C271" t="inlineStr">
        <is>
          <t>cached_equal</t>
        </is>
      </c>
      <c r="D271" t="inlineStr">
        <is>
          <t>SUBTOTAL(102,Hidden!A1:A8)</t>
        </is>
      </c>
    </row>
    <row r="272">
      <c r="A272" t="inlineStr">
        <is>
          <t>subtotal-hidden-nested-103</t>
        </is>
      </c>
      <c r="B272">
        <f>SUBTOTAL(103,Hidden!A1:A8)</f>
        <v/>
      </c>
      <c r="C272" t="inlineStr">
        <is>
          <t>cached_equal</t>
        </is>
      </c>
      <c r="D272" t="inlineStr">
        <is>
          <t>SUBTOTAL(103,Hidden!A1:A8)</t>
        </is>
      </c>
    </row>
    <row r="273">
      <c r="A273" t="inlineStr">
        <is>
          <t>subtotal-hidden-nested-104</t>
        </is>
      </c>
      <c r="B273">
        <f>SUBTOTAL(104,Hidden!A1:A8)</f>
        <v/>
      </c>
      <c r="C273" t="inlineStr">
        <is>
          <t>cached_equal</t>
        </is>
      </c>
      <c r="D273" t="inlineStr">
        <is>
          <t>SUBTOTAL(104,Hidden!A1:A8)</t>
        </is>
      </c>
    </row>
    <row r="274">
      <c r="A274" t="inlineStr">
        <is>
          <t>subtotal-hidden-nested-105</t>
        </is>
      </c>
      <c r="B274">
        <f>SUBTOTAL(105,Hidden!A1:A8)</f>
        <v/>
      </c>
      <c r="C274" t="inlineStr">
        <is>
          <t>cached_equal</t>
        </is>
      </c>
      <c r="D274" t="inlineStr">
        <is>
          <t>SUBTOTAL(105,Hidden!A1:A8)</t>
        </is>
      </c>
    </row>
    <row r="275">
      <c r="A275" t="inlineStr">
        <is>
          <t>subtotal-hidden-nested-106</t>
        </is>
      </c>
      <c r="B275">
        <f>SUBTOTAL(106,Hidden!A1:A8)</f>
        <v/>
      </c>
      <c r="C275" t="inlineStr">
        <is>
          <t>cached_equal</t>
        </is>
      </c>
      <c r="D275" t="inlineStr">
        <is>
          <t>SUBTOTAL(106,Hidden!A1:A8)</t>
        </is>
      </c>
    </row>
    <row r="276">
      <c r="A276" t="inlineStr">
        <is>
          <t>subtotal-hidden-nested-107</t>
        </is>
      </c>
      <c r="B276">
        <f>SUBTOTAL(107,Hidden!A1:A8)</f>
        <v/>
      </c>
      <c r="C276" t="inlineStr">
        <is>
          <t>cached_equal</t>
        </is>
      </c>
      <c r="D276" t="inlineStr">
        <is>
          <t>SUBTOTAL(107,Hidden!A1:A8)</t>
        </is>
      </c>
    </row>
    <row r="277">
      <c r="A277" t="inlineStr">
        <is>
          <t>subtotal-hidden-nested-108</t>
        </is>
      </c>
      <c r="B277">
        <f>SUBTOTAL(108,Hidden!A1:A8)</f>
        <v/>
      </c>
      <c r="C277" t="inlineStr">
        <is>
          <t>cached_equal</t>
        </is>
      </c>
      <c r="D277" t="inlineStr">
        <is>
          <t>SUBTOTAL(108,Hidden!A1:A8)</t>
        </is>
      </c>
    </row>
    <row r="278">
      <c r="A278" t="inlineStr">
        <is>
          <t>subtotal-hidden-nested-109</t>
        </is>
      </c>
      <c r="B278">
        <f>SUBTOTAL(109,Hidden!A1:A8)</f>
        <v/>
      </c>
      <c r="C278" t="inlineStr">
        <is>
          <t>cached_equal</t>
        </is>
      </c>
      <c r="D278" t="inlineStr">
        <is>
          <t>SUBTOTAL(109,Hidden!A1:A8)</t>
        </is>
      </c>
    </row>
    <row r="279">
      <c r="A279" t="inlineStr">
        <is>
          <t>subtotal-hidden-nested-110</t>
        </is>
      </c>
      <c r="B279">
        <f>SUBTOTAL(110,Hidden!A1:A8)</f>
        <v/>
      </c>
      <c r="C279" t="inlineStr">
        <is>
          <t>cached_equal</t>
        </is>
      </c>
      <c r="D279" t="inlineStr">
        <is>
          <t>SUBTOTAL(110,Hidden!A1:A8)</t>
        </is>
      </c>
    </row>
    <row r="280">
      <c r="A280" t="inlineStr">
        <is>
          <t>subtotal-hidden-nested-111</t>
        </is>
      </c>
      <c r="B280">
        <f>SUBTOTAL(111,Hidden!A1:A8)</f>
        <v/>
      </c>
      <c r="C280" t="inlineStr">
        <is>
          <t>cached_equal</t>
        </is>
      </c>
      <c r="D280" t="inlineStr">
        <is>
          <t>SUBTOTAL(111,Hidden!A1:A8)</t>
        </is>
      </c>
    </row>
    <row r="281">
      <c r="A281" t="inlineStr">
        <is>
          <t>mod--7--3</t>
        </is>
      </c>
      <c r="B281">
        <f>MOD(-7,-3)</f>
        <v/>
      </c>
      <c r="C281" t="inlineStr">
        <is>
          <t>cached_equal</t>
        </is>
      </c>
      <c r="D281" t="inlineStr">
        <is>
          <t>MOD(-7,-3)</t>
        </is>
      </c>
    </row>
    <row r="282">
      <c r="A282" t="inlineStr">
        <is>
          <t>mod--7-3</t>
        </is>
      </c>
      <c r="B282">
        <f>MOD(-7,3)</f>
        <v/>
      </c>
      <c r="C282" t="inlineStr">
        <is>
          <t>cached_equal</t>
        </is>
      </c>
      <c r="D282" t="inlineStr">
        <is>
          <t>MOD(-7,3)</t>
        </is>
      </c>
    </row>
    <row r="283">
      <c r="A283" t="inlineStr">
        <is>
          <t>mod-7--3</t>
        </is>
      </c>
      <c r="B283">
        <f>MOD(7,-3)</f>
        <v/>
      </c>
      <c r="C283" t="inlineStr">
        <is>
          <t>cached_equal</t>
        </is>
      </c>
      <c r="D283" t="inlineStr">
        <is>
          <t>MOD(7,-3)</t>
        </is>
      </c>
    </row>
    <row r="284">
      <c r="A284" t="inlineStr">
        <is>
          <t>mod-7-3</t>
        </is>
      </c>
      <c r="B284">
        <f>MOD(7,3)</f>
        <v/>
      </c>
      <c r="C284" t="inlineStr">
        <is>
          <t>cached_equal</t>
        </is>
      </c>
      <c r="D284" t="inlineStr">
        <is>
          <t>MOD(7,3)</t>
        </is>
      </c>
    </row>
    <row r="285">
      <c r="A285" t="inlineStr">
        <is>
          <t>mod-zero</t>
        </is>
      </c>
      <c r="B285">
        <f>MOD(7,0)</f>
        <v/>
      </c>
      <c r="C285" t="inlineStr">
        <is>
          <t>cached_equal</t>
        </is>
      </c>
      <c r="D285" t="inlineStr">
        <is>
          <t>MOD(7,0)</t>
        </is>
      </c>
    </row>
    <row r="286">
      <c r="A286" t="inlineStr">
        <is>
          <t>error-type-1</t>
        </is>
      </c>
      <c r="B286">
        <f>ERROR.TYPE(Errors!A1)</f>
        <v/>
      </c>
      <c r="C286" t="inlineStr">
        <is>
          <t>cached_equal</t>
        </is>
      </c>
      <c r="D286" t="inlineStr">
        <is>
          <t>ERROR.TYPE(Errors!A1)</t>
        </is>
      </c>
    </row>
    <row r="287">
      <c r="A287" t="inlineStr">
        <is>
          <t>error-type-2</t>
        </is>
      </c>
      <c r="B287">
        <f>ERROR.TYPE(Errors!A2)</f>
        <v/>
      </c>
      <c r="C287" t="inlineStr">
        <is>
          <t>cached_equal</t>
        </is>
      </c>
      <c r="D287" t="inlineStr">
        <is>
          <t>ERROR.TYPE(Errors!A2)</t>
        </is>
      </c>
    </row>
    <row r="288">
      <c r="A288" t="inlineStr">
        <is>
          <t>error-type-3</t>
        </is>
      </c>
      <c r="B288">
        <f>ERROR.TYPE(Errors!A3)</f>
        <v/>
      </c>
      <c r="C288" t="inlineStr">
        <is>
          <t>cached_equal</t>
        </is>
      </c>
      <c r="D288" t="inlineStr">
        <is>
          <t>ERROR.TYPE(Errors!A3)</t>
        </is>
      </c>
    </row>
    <row r="289">
      <c r="A289" t="inlineStr">
        <is>
          <t>error-type-4</t>
        </is>
      </c>
      <c r="B289">
        <f>ERROR.TYPE(Errors!A4)</f>
        <v/>
      </c>
      <c r="C289" t="inlineStr">
        <is>
          <t>cached_equal</t>
        </is>
      </c>
      <c r="D289" t="inlineStr">
        <is>
          <t>ERROR.TYPE(Errors!A4)</t>
        </is>
      </c>
    </row>
    <row r="290">
      <c r="A290" t="inlineStr">
        <is>
          <t>error-type-5</t>
        </is>
      </c>
      <c r="B290">
        <f>ERROR.TYPE(Errors!A5)</f>
        <v/>
      </c>
      <c r="C290" t="inlineStr">
        <is>
          <t>cached_equal</t>
        </is>
      </c>
      <c r="D290" t="inlineStr">
        <is>
          <t>ERROR.TYPE(Errors!A5)</t>
        </is>
      </c>
    </row>
    <row r="291">
      <c r="A291" t="inlineStr">
        <is>
          <t>error-type-6</t>
        </is>
      </c>
      <c r="B291">
        <f>ERROR.TYPE(Errors!A6)</f>
        <v/>
      </c>
      <c r="C291" t="inlineStr">
        <is>
          <t>cached_equal</t>
        </is>
      </c>
      <c r="D291" t="inlineStr">
        <is>
          <t>ERROR.TYPE(Errors!A6)</t>
        </is>
      </c>
    </row>
    <row r="292">
      <c r="A292" t="inlineStr">
        <is>
          <t>error-type-7</t>
        </is>
      </c>
      <c r="B292">
        <f>ERROR.TYPE(Errors!A7)</f>
        <v/>
      </c>
      <c r="C292" t="inlineStr">
        <is>
          <t>cached_equal</t>
        </is>
      </c>
      <c r="D292" t="inlineStr">
        <is>
          <t>ERROR.TYPE(Errors!A7)</t>
        </is>
      </c>
    </row>
    <row r="293">
      <c r="A293" t="inlineStr">
        <is>
          <t>error-type-8</t>
        </is>
      </c>
      <c r="B293">
        <f>ERROR.TYPE(Errors!A8)</f>
        <v/>
      </c>
      <c r="C293" t="inlineStr">
        <is>
          <t>cached_equal</t>
        </is>
      </c>
      <c r="D293" t="inlineStr">
        <is>
          <t>ERROR.TYPE(Errors!A8)</t>
        </is>
      </c>
    </row>
    <row r="294">
      <c r="A294" t="inlineStr">
        <is>
          <t>name-workbook</t>
        </is>
      </c>
      <c r="B294">
        <f>Rate*100</f>
        <v/>
      </c>
      <c r="C294" t="inlineStr">
        <is>
          <t>cached_equal</t>
        </is>
      </c>
      <c r="D294" t="inlineStr">
        <is>
          <t>Rate*100</t>
        </is>
      </c>
    </row>
    <row r="295">
      <c r="A295" t="inlineStr">
        <is>
          <t>randbetween-degenerate</t>
        </is>
      </c>
      <c r="B295">
        <f>RANDBETWEEN(7,7)</f>
        <v/>
      </c>
      <c r="C295" t="inlineStr">
        <is>
          <t>cached_equal</t>
        </is>
      </c>
      <c r="D295" t="inlineStr">
        <is>
          <t>RANDBETWEEN(7,7)</t>
        </is>
      </c>
    </row>
    <row r="296">
      <c r="A296" t="inlineStr">
        <is>
          <t>clock-day-fraction</t>
        </is>
      </c>
      <c r="B296">
        <f>NOW()-TODAY()</f>
        <v/>
      </c>
      <c r="C296" t="inlineStr">
        <is>
          <t>behavior_only</t>
        </is>
      </c>
      <c r="D296" t="inlineStr">
        <is>
          <t>NOW()-TODAY()</t>
        </is>
      </c>
    </row>
    <row r="297">
      <c r="A297" t="inlineStr">
        <is>
          <t>calibrate-text-version</t>
        </is>
      </c>
      <c r="B297">
        <f>LEN("A😀Z")</f>
        <v/>
      </c>
      <c r="C297" t="inlineStr">
        <is>
          <t>calibration</t>
        </is>
      </c>
      <c r="D297" t="inlineStr">
        <is>
          <t>LEN("A😀Z")</t>
        </is>
      </c>
    </row>
    <row r="298">
      <c r="A298" t="inlineStr">
        <is>
          <t>calibrate-formula-text</t>
        </is>
      </c>
      <c r="B298">
        <f>TEXT(DATE(2024,1,1),"dddd, mmmm d, yyyy")</f>
        <v/>
      </c>
      <c r="C298" t="inlineStr">
        <is>
          <t>calibration</t>
        </is>
      </c>
      <c r="D298" t="inlineStr">
        <is>
          <t>TEXT(DATE(2024,1,1),"dddd, mmmm d, yyyy")</t>
        </is>
      </c>
    </row>
    <row r="299">
      <c r="A299" t="inlineStr">
        <is>
          <t>utf16-len</t>
        </is>
      </c>
      <c r="B299">
        <f>LEN("A😀Z")</f>
        <v/>
      </c>
      <c r="C299" t="inlineStr">
        <is>
          <t>cached_equal</t>
        </is>
      </c>
      <c r="D299" t="inlineStr">
        <is>
          <t>LEN("A😀Z")</t>
        </is>
      </c>
    </row>
    <row r="300">
      <c r="A300" t="inlineStr">
        <is>
          <t>utf16-mid-pair</t>
        </is>
      </c>
      <c r="B300">
        <f>MID("A😀Z",2,2)</f>
        <v/>
      </c>
      <c r="C300" t="inlineStr">
        <is>
          <t>cached_equal</t>
        </is>
      </c>
      <c r="D300" t="inlineStr">
        <is>
          <t>MID("A😀Z",2,2)</t>
        </is>
      </c>
    </row>
    <row r="301">
      <c r="A301" t="inlineStr">
        <is>
          <t>utf16-find-after-pair</t>
        </is>
      </c>
      <c r="B301">
        <f>FIND("Z","A😀Z")</f>
        <v/>
      </c>
      <c r="C301" t="inlineStr">
        <is>
          <t>cached_equal</t>
        </is>
      </c>
      <c r="D301" t="inlineStr">
        <is>
          <t>FIND("Z","A😀Z")</t>
        </is>
      </c>
    </row>
    <row r="302">
      <c r="A302" t="inlineStr">
        <is>
          <t>utf16-search-after-pair</t>
        </is>
      </c>
      <c r="B302">
        <f>SEARCH("z","A😀Z")</f>
        <v/>
      </c>
      <c r="C302" t="inlineStr">
        <is>
          <t>cached_equal</t>
        </is>
      </c>
      <c r="D302" t="inlineStr">
        <is>
          <t>SEARCH("z","A😀Z")</t>
        </is>
      </c>
    </row>
    <row r="303">
      <c r="A303" t="inlineStr">
        <is>
          <t>utf16-replace-pair</t>
        </is>
      </c>
      <c r="B303">
        <f>REPLACE("A😀Z",2,2,"X")</f>
        <v/>
      </c>
      <c r="C303" t="inlineStr">
        <is>
          <t>cached_equal</t>
        </is>
      </c>
      <c r="D303" t="inlineStr">
        <is>
          <t>REPLACE("A😀Z",2,2,"X")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Native formula result</t>
        </is>
      </c>
      <c r="C1" t="inlineStr">
        <is>
          <t>Mode</t>
        </is>
      </c>
      <c r="D1" t="inlineStr">
        <is>
          <t>Original formula</t>
        </is>
      </c>
    </row>
    <row r="2">
      <c r="A2" t="inlineStr">
        <is>
          <t>name-local</t>
        </is>
      </c>
      <c r="B2">
        <f>Rate*100</f>
        <v/>
      </c>
      <c r="C2" t="inlineStr">
        <is>
          <t>cached_equal</t>
        </is>
      </c>
      <c r="D2" t="inlineStr">
        <is>
          <t>Rate*100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yggdryl local P5 input builder</dc:creator>
  <dcterms:created xsi:type="dcterms:W3CDTF">2026-10-01T00:00:00Z</dcterms:created>
  <dcterms:modified xsi:type="dcterms:W3CDTF">2026-10-01T02:39:38Z</dcterms:modified>
</cp:coreProperties>
</file>